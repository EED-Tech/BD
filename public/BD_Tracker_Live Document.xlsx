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ocumenttasks/documenttask3.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ocumenttasks/documenttask4.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933C4AC0-1930-4C17-A092-84770478E110}" xr6:coauthVersionLast="47" xr6:coauthVersionMax="47" xr10:uidLastSave="{00000000-0000-0000-0000-000000000000}"/>
  <bookViews>
    <workbookView xWindow="-110" yWindow="-110" windowWidth="19420" windowHeight="12220" firstSheet="1" activeTab="3" xr2:uid="{1556F1C6-BB24-42EB-9F2A-F607E6E74C17}"/>
  </bookViews>
  <sheets>
    <sheet name="EOIs Tracker 2025" sheetId="5" r:id="rId1"/>
    <sheet name="Proposals Tracker 2025" sheetId="6" r:id="rId2"/>
    <sheet name="Partners Firms" sheetId="2" r:id="rId3"/>
    <sheet name="Partners Individual Experts" sheetId="3" r:id="rId4"/>
    <sheet name="Teams" sheetId="4" r:id="rId5"/>
  </sheets>
  <definedNames>
    <definedName name="_xlnm._FilterDatabase" localSheetId="0" hidden="1">'EOIs Tracker 2025'!$A$1:$V$57</definedName>
    <definedName name="_xlnm._FilterDatabase" localSheetId="2" hidden="1">'Partners Firms'!$A$1:$N$208</definedName>
    <definedName name="_xlnm._FilterDatabase" localSheetId="3" hidden="1">'Partners Individual Experts'!$A$1:$J$192</definedName>
    <definedName name="_xlnm._FilterDatabase" localSheetId="1" hidden="1">'Proposals Tracker 2025'!$A$1:$W$296</definedName>
    <definedName name="_xlnm._FilterDatabase" localSheetId="4" hidden="1">Teams!$A$1:$E$9</definedName>
    <definedName name="Status">#REF!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a="1"/>
  <c r="A2" i="2" s="1"/>
  <c r="A2" i="6" a="1"/>
  <c r="A2" i="6" s="1"/>
  <c r="T195" i="6"/>
  <c r="T193" i="6"/>
  <c r="T185" i="6"/>
  <c r="A2" i="5" a="1"/>
  <c r="A2" i="5" s="1"/>
  <c r="T86" i="6" l="1"/>
  <c r="T7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tc={8AAC896B-2695-47F9-8F79-CA53DE037DF9}</author>
    <author>tc={5559B5C8-EC5B-48AB-9DD3-5C3E61AB2235}</author>
    <author>tc={276AAFDC-F3CE-4D9F-AA68-34F1D478132C}</author>
  </authors>
  <commentList>
    <comment ref="K12" authorId="0" shapeId="0" xr:uid="{8AAC896B-2695-47F9-8F79-CA53DE037DF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@Mary Kisaka please populate this</t>
      </text>
    </comment>
    <comment ref="F17" authorId="1" shapeId="0" xr:uid="{5559B5C8-EC5B-48AB-9DD3-5C3E61AB223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@Esther Githinji please complete populate this</t>
      </text>
    </comment>
    <comment ref="R18" authorId="2" shapeId="0" xr:uid="{276AAFDC-F3CE-4D9F-AA68-34F1D478132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@Alois Mbutura  please complete this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tc={6A68CC80-AED0-4D9B-B2CC-7E1D8E2801C2}</author>
    <author>tc={59990635-68D6-4892-919F-84F236647FDE}</author>
    <author>EED Advisory</author>
    <author>tc={F2A159E9-3615-4678-8E87-F5E419F01DFE}</author>
    <author>tc={FA74E992-B3FE-46E8-9794-DDD8DD9A5F92}</author>
    <author>tc={B04439A6-8B54-408E-863F-D9943AF9E74A}</author>
    <author>Sarange Manono</author>
    <author>tc={90BE9C04-D841-4916-807E-A6CB40AB3A5C}</author>
    <author>tc={B05EADC7-11AF-4A0A-B825-0EB85F33CCD0}</author>
    <author>tc={0B296092-3BA7-4752-BB81-B1533D82BA18}</author>
    <author>tc={04423312-33DF-4740-B9A8-130A8D4DC7B4}</author>
    <author>tc={A0862A0C-1D2F-460D-B1DF-BF51E4ABBE2B}</author>
  </authors>
  <commentList>
    <comment ref="T17" authorId="0" shapeId="0" xr:uid="{6A68CC80-AED0-4D9B-B2CC-7E1D8E2801C2}">
      <text>
        <t>[Threaded comment]
Your version of Excel allows you to read this threaded comment; however, any edits to it will get removed if the file is opened in a newer version of Excel. Learn more: https://go.microsoft.com/fwlink/?linkid=870924
Comment:
    @Winnie Muriithi ,please update this</t>
      </text>
    </comment>
    <comment ref="U18" authorId="1" shapeId="0" xr:uid="{59990635-68D6-4892-919F-84F236647FD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@Cheikh  Mbodji, please update this bid including the budget</t>
      </text>
    </comment>
    <comment ref="V21" authorId="2" shapeId="0" xr:uid="{9D8BDAF6-44F3-40EC-B56A-0C8085076861}">
      <text>
        <r>
          <rPr>
            <b/>
            <sz val="9"/>
            <color indexed="81"/>
            <rFont val="Tahoma"/>
            <family val="2"/>
          </rPr>
          <t>EED Advisory:</t>
        </r>
        <r>
          <rPr>
            <sz val="9"/>
            <color indexed="81"/>
            <rFont val="Tahoma"/>
            <family val="2"/>
          </rPr>
          <t xml:space="preserve">
To be confirmed by the client</t>
        </r>
      </text>
    </comment>
    <comment ref="T23" authorId="3" shapeId="0" xr:uid="{F2A159E9-3615-4678-8E87-F5E419F01DFE}">
      <text>
        <t>[Threaded comment]
Your version of Excel allows you to read this threaded comment; however, any edits to it will get removed if the file is opened in a newer version of Excel. Learn more: https://go.microsoft.com/fwlink/?linkid=870924
Comment:
    The budget is restricted to 1 million. This value is in pounds. If we convert it to USD, it is 1.275,939</t>
      </text>
    </comment>
    <comment ref="E26" authorId="4" shapeId="0" xr:uid="{FA74E992-B3FE-46E8-9794-DDD8DD9A5F9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 Ngaira ,please update this</t>
      </text>
    </comment>
    <comment ref="E40" authorId="5" shapeId="0" xr:uid="{B04439A6-8B54-408E-863F-D9943AF9E74A}">
      <text>
        <t>[Threaded comment]
Your version of Excel allows you to read this threaded comment; however, any edits to it will get removed if the file is opened in a newer version of Excel. Learn more: https://go.microsoft.com/fwlink/?linkid=870924
Comment:
    @Cheikh  Mbodji please include the client here. Not sure who the client was
Reply:
    Added</t>
      </text>
    </comment>
    <comment ref="T54" authorId="6" shapeId="0" xr:uid="{CABF463F-5405-4BE1-8D6F-C89E43B9D4D7}">
      <text>
        <r>
          <rPr>
            <b/>
            <sz val="9"/>
            <color indexed="81"/>
            <rFont val="Tahoma"/>
            <family val="2"/>
          </rPr>
          <t>Sarange Manono:</t>
        </r>
        <r>
          <rPr>
            <sz val="9"/>
            <color indexed="81"/>
            <rFont val="Tahoma"/>
            <family val="2"/>
          </rPr>
          <t xml:space="preserve">
GBP 33,485</t>
        </r>
      </text>
    </comment>
    <comment ref="U73" authorId="7" shapeId="0" xr:uid="{90BE9C04-D841-4916-807E-A6CB40AB3A5C}">
      <text>
        <t>[Threaded comment]
Your version of Excel allows you to read this threaded comment; however, any edits to it will get removed if the file is opened in a newer version of Excel. Learn more: https://go.microsoft.com/fwlink/?linkid=870924
Comment:
    Evaluation still ongoing</t>
      </text>
    </comment>
    <comment ref="U82" authorId="8" shapeId="0" xr:uid="{B05EADC7-11AF-4A0A-B825-0EB85F33CCD0}">
      <text>
        <t>[Threaded comment]
Your version of Excel allows you to read this threaded comment; however, any edits to it will get removed if the file is opened in a newer version of Excel. Learn more: https://go.microsoft.com/fwlink/?linkid=870924
Comment:
    Evaluation still ongoing</t>
      </text>
    </comment>
    <comment ref="T83" authorId="9" shapeId="0" xr:uid="{0B296092-3BA7-4752-BB81-B1533D82BA18}">
      <text>
        <t>[Threaded comment]
Your version of Excel allows you to read this threaded comment; however, any edits to it will get removed if the file is opened in a newer version of Excel. Learn more: https://go.microsoft.com/fwlink/?linkid=870924
Comment:
    The quoted price is for the first lot of the work. The budget for the second lot of the work is contigent on the number of beneficiaries to receive TA which will be defined by the client upon contracting.</t>
      </text>
    </comment>
    <comment ref="F173" authorId="10" shapeId="0" xr:uid="{04423312-33DF-4740-B9A8-130A8D4DC7B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 Ngaira please update the title of the opportunity even though it was cancelled</t>
      </text>
    </comment>
    <comment ref="F176" authorId="11" shapeId="0" xr:uid="{A0862A0C-1D2F-460D-B1DF-BF51E4ABBE2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@Amos Bungei please update this
Reply:
    @Mercy Kamau, this has been updated. Thank you</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tc={F1A3BAEF-4CD0-4CF5-AC60-E42D2B6A097D}</author>
    <author>tc={C358D54C-F94D-418C-944F-C07955D1113C}</author>
    <author>tc={8A5F413B-2E57-4B62-A614-373D252E0E83}</author>
    <author>tc={6E7DACE7-C083-4722-87E2-9711EBF0FF22}</author>
    <author>tc={222985D7-E104-4FFD-B95B-CFEA014622FD}</author>
    <author>tc={2B7D8E3E-0203-4527-81E2-1C73B2194CCB}</author>
    <author>tc={D291FF95-4D11-4A8D-AB7F-3F4D25F28E70}</author>
  </authors>
  <commentList>
    <comment ref="B9" authorId="0" shapeId="0" xr:uid="{F1A3BAEF-4CD0-4CF5-AC60-E42D2B6A097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@Arnold Jonathan Ayeny </t>
      </text>
    </comment>
    <comment ref="B15" authorId="1" shapeId="0" xr:uid="{C358D54C-F94D-418C-944F-C07955D1113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@Arnold Jonathan Ayeny </t>
      </text>
    </comment>
    <comment ref="B25" authorId="2" shapeId="0" xr:uid="{8A5F413B-2E57-4B62-A614-373D252E0E8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 Ngaira ,please update this section</t>
      </text>
    </comment>
    <comment ref="B40" authorId="3" shapeId="0" xr:uid="{6E7DACE7-C083-4722-87E2-9711EBF0FF2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@Arnold Jonathan Ayeny, please complete this </t>
      </text>
    </comment>
    <comment ref="B48" authorId="4" shapeId="0" xr:uid="{222985D7-E104-4FFD-B95B-CFEA014622F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@Mary Kisaka, please update this section 
Reply:
    Done</t>
      </text>
    </comment>
    <comment ref="B55" authorId="5" shapeId="0" xr:uid="{2B7D8E3E-0203-4527-81E2-1C73B2194CC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@Isaac Chibole </t>
      </text>
    </comment>
    <comment ref="B58" authorId="6" shapeId="0" xr:uid="{D291FF95-4D11-4A8D-AB7F-3F4D25F28E7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@Ian Munga please complete this row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tc={51CD031E-FD7A-4293-BF9B-019EDEF5BDA0}</author>
    <author>tc={9A693DBE-E541-424E-91DA-3F3AA6792D63}</author>
  </authors>
  <commentList>
    <comment ref="B28" authorId="0" shapeId="0" xr:uid="{51CD031E-FD7A-4293-BF9B-019EDEF5BDA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@Arnold Jonathan Ayeny </t>
      </text>
    </comment>
    <comment ref="B74" authorId="1" shapeId="0" xr:uid="{9A693DBE-E541-424E-91DA-3F3AA6792D6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@Carl Ngaira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<sst xmlns="http://schemas.openxmlformats.org/spreadsheetml/2006/main" count="4765" uniqueCount="1112">
  <si>
    <t>Serial Number</t>
  </si>
  <si>
    <t>Quarter</t>
  </si>
  <si>
    <t>Type of client</t>
  </si>
  <si>
    <t>Name of organization</t>
  </si>
  <si>
    <t>Project title</t>
  </si>
  <si>
    <t>Business line</t>
  </si>
  <si>
    <t>Service Offering</t>
  </si>
  <si>
    <t>Type of BD</t>
  </si>
  <si>
    <t>Origin of BD</t>
  </si>
  <si>
    <t>External deadline</t>
  </si>
  <si>
    <t>CVS &amp; Project profiles</t>
  </si>
  <si>
    <t>Workplan &amp; Budget</t>
  </si>
  <si>
    <t>Other activity</t>
  </si>
  <si>
    <t>Partners</t>
  </si>
  <si>
    <t>PC</t>
  </si>
  <si>
    <t>PD</t>
  </si>
  <si>
    <t>Budget (US$)</t>
  </si>
  <si>
    <t>Status</t>
  </si>
  <si>
    <t>Timeframe (months)</t>
  </si>
  <si>
    <t>Multi-lateral Development Bank</t>
  </si>
  <si>
    <t>World Bank</t>
  </si>
  <si>
    <t>Energy</t>
  </si>
  <si>
    <t>Research and Data Analytics</t>
  </si>
  <si>
    <t>Core(Continuity)</t>
  </si>
  <si>
    <t>Kenya</t>
  </si>
  <si>
    <t>BD search(Other sources other than DevAid)</t>
  </si>
  <si>
    <t>ECA</t>
  </si>
  <si>
    <t>EG</t>
  </si>
  <si>
    <t>MK</t>
  </si>
  <si>
    <t>Shortlisted</t>
  </si>
  <si>
    <t>Private Sector</t>
  </si>
  <si>
    <t>Africa</t>
  </si>
  <si>
    <t>MaK</t>
  </si>
  <si>
    <t>AM</t>
  </si>
  <si>
    <t>Energy (PUE)</t>
  </si>
  <si>
    <t>IM</t>
  </si>
  <si>
    <t>AK</t>
  </si>
  <si>
    <t>MB</t>
  </si>
  <si>
    <t>Cancelled (Internally)</t>
  </si>
  <si>
    <t>WASH</t>
  </si>
  <si>
    <t>Technical Assistance</t>
  </si>
  <si>
    <t>JI</t>
  </si>
  <si>
    <t>AfDB</t>
  </si>
  <si>
    <t>EO</t>
  </si>
  <si>
    <t>Data Collection and analysis</t>
  </si>
  <si>
    <t>Zimbabwe</t>
  </si>
  <si>
    <t>GM</t>
  </si>
  <si>
    <t>AA</t>
  </si>
  <si>
    <t>MeK</t>
  </si>
  <si>
    <t>Submitted</t>
  </si>
  <si>
    <t>Enterprise development</t>
  </si>
  <si>
    <t>Training and Capacity Development</t>
  </si>
  <si>
    <t>SiM</t>
  </si>
  <si>
    <t>IC</t>
  </si>
  <si>
    <t>IG</t>
  </si>
  <si>
    <t>Development Agency</t>
  </si>
  <si>
    <t>Energy (Cooking)</t>
  </si>
  <si>
    <t>Rwanda</t>
  </si>
  <si>
    <t>Direct from client</t>
  </si>
  <si>
    <t>SM</t>
  </si>
  <si>
    <t>PA</t>
  </si>
  <si>
    <t>CN</t>
  </si>
  <si>
    <t>Adjacent (Change)</t>
  </si>
  <si>
    <t>Other</t>
  </si>
  <si>
    <t>AECF</t>
  </si>
  <si>
    <t>WM</t>
  </si>
  <si>
    <t>Gambia</t>
  </si>
  <si>
    <t>LO</t>
  </si>
  <si>
    <t>Uganda</t>
  </si>
  <si>
    <t>Think Tank</t>
  </si>
  <si>
    <t>Lost</t>
  </si>
  <si>
    <t>Nigeria</t>
  </si>
  <si>
    <t>The Khana Group (TKG)</t>
  </si>
  <si>
    <t>UNDP</t>
  </si>
  <si>
    <t>Agriculture</t>
  </si>
  <si>
    <t>Tanzania</t>
  </si>
  <si>
    <t>Q1</t>
  </si>
  <si>
    <t>From Dev Aid</t>
  </si>
  <si>
    <t>CM</t>
  </si>
  <si>
    <t>Climate change</t>
  </si>
  <si>
    <t>Program Design</t>
  </si>
  <si>
    <t>West Africa</t>
  </si>
  <si>
    <t>RG</t>
  </si>
  <si>
    <t>NGO</t>
  </si>
  <si>
    <t>Fund Management</t>
  </si>
  <si>
    <t>From partner</t>
  </si>
  <si>
    <t>New Climate Institute (NCI)</t>
  </si>
  <si>
    <t>Q2</t>
  </si>
  <si>
    <t>Ghana</t>
  </si>
  <si>
    <t>AO</t>
  </si>
  <si>
    <t>TS</t>
  </si>
  <si>
    <t>Lesotho</t>
  </si>
  <si>
    <t>RA</t>
  </si>
  <si>
    <t>Ethiopia</t>
  </si>
  <si>
    <t>Ethio Resource Group (ERG)</t>
  </si>
  <si>
    <t>Under development</t>
  </si>
  <si>
    <t>Halo Sarl</t>
  </si>
  <si>
    <t>Malawi</t>
  </si>
  <si>
    <t>Won</t>
  </si>
  <si>
    <t>GIZ</t>
  </si>
  <si>
    <t>MEK</t>
  </si>
  <si>
    <t>RIIS Africa</t>
  </si>
  <si>
    <t>Verst Carbon</t>
  </si>
  <si>
    <t>Global Alliance for Improved Nutrition (GAIN)</t>
  </si>
  <si>
    <t>New (Disruptive)</t>
  </si>
  <si>
    <t>Keni Kariuki</t>
  </si>
  <si>
    <t>Senegal</t>
  </si>
  <si>
    <t>Ben Robinson</t>
  </si>
  <si>
    <t>Zambia</t>
  </si>
  <si>
    <t>SC</t>
  </si>
  <si>
    <t>PRS 365</t>
  </si>
  <si>
    <t>Aqua for All</t>
  </si>
  <si>
    <t>Government</t>
  </si>
  <si>
    <t>DW</t>
  </si>
  <si>
    <t>Burkina Faso</t>
  </si>
  <si>
    <t>Prof Jane Ambuko</t>
  </si>
  <si>
    <t>Somalia</t>
  </si>
  <si>
    <t>Tropical Consult</t>
  </si>
  <si>
    <t>Mozambique</t>
  </si>
  <si>
    <t>Dr Murambire Benedito</t>
  </si>
  <si>
    <t>Cancelled (by the client)</t>
  </si>
  <si>
    <t>Maarten Susan</t>
  </si>
  <si>
    <t>CLASP</t>
  </si>
  <si>
    <t>GOGLA</t>
  </si>
  <si>
    <t>#</t>
  </si>
  <si>
    <t>Name of Firm</t>
  </si>
  <si>
    <t>Country HQ</t>
  </si>
  <si>
    <t>Regional (List the countries)</t>
  </si>
  <si>
    <t>Global (Yes/No)</t>
  </si>
  <si>
    <t>Year Founded</t>
  </si>
  <si>
    <t>Name of contact person</t>
  </si>
  <si>
    <t>Designation</t>
  </si>
  <si>
    <t>Email</t>
  </si>
  <si>
    <t>Phone</t>
  </si>
  <si>
    <t>Website</t>
  </si>
  <si>
    <t>Have we worked with them in the past (Yes/No)</t>
  </si>
  <si>
    <t>CV Uploaded (Yes/No)</t>
  </si>
  <si>
    <t>Algum Africa Capital</t>
  </si>
  <si>
    <t>Ethiopia, Somalia,Tanzania, Uganda and Rwanda</t>
  </si>
  <si>
    <t>No</t>
  </si>
  <si>
    <t>Bernad Kiarie</t>
  </si>
  <si>
    <t>Managing Parner</t>
  </si>
  <si>
    <t>bkiarie@algumafricacapital.com</t>
  </si>
  <si>
    <t>+254721555301</t>
  </si>
  <si>
    <t>https://algumafricacapital.com/</t>
  </si>
  <si>
    <t>Yes</t>
  </si>
  <si>
    <t>Berkerly Air Monitoring Group</t>
  </si>
  <si>
    <t>USA</t>
  </si>
  <si>
    <t>Michael Johnson</t>
  </si>
  <si>
    <t>mjohnson@berkeleyair.com</t>
  </si>
  <si>
    <t>https://berkeleyair.com/</t>
  </si>
  <si>
    <t>Busara Center for Behavioral Economics</t>
  </si>
  <si>
    <t>N/A</t>
  </si>
  <si>
    <t>partnerships@busaracenter.org</t>
  </si>
  <si>
    <t>https://www.busaracenter.org/</t>
  </si>
  <si>
    <t>Carbon Trust</t>
  </si>
  <si>
    <t>South Africa</t>
  </si>
  <si>
    <t>Nadia Algera</t>
  </si>
  <si>
    <t>TEA Project Manager</t>
  </si>
  <si>
    <t>Nadia.Algera@carbontrust.com</t>
  </si>
  <si>
    <t>https://www.carbontrust.com/en-af</t>
  </si>
  <si>
    <t>Centre for Energy Environment and Engineering Zambia (CEEEZ)</t>
  </si>
  <si>
    <t>Francis Yamba</t>
  </si>
  <si>
    <t>Director</t>
  </si>
  <si>
    <t>ceeez2015@gmail.com</t>
  </si>
  <si>
    <t> +260- 211- 223 - 118</t>
  </si>
  <si>
    <t>CEEEZ Home Page</t>
  </si>
  <si>
    <t>CepRass</t>
  </si>
  <si>
    <t>https://ceprass.gm/</t>
  </si>
  <si>
    <t>Cicores</t>
  </si>
  <si>
    <t>Mali</t>
  </si>
  <si>
    <t>Mali, Niger, Burkina Faso</t>
  </si>
  <si>
    <t>Baba Sylla</t>
  </si>
  <si>
    <t>baba.sylla@cicores.com</t>
  </si>
  <si>
    <t>(+223)76175195</t>
  </si>
  <si>
    <t>http://www.cicores.com/</t>
  </si>
  <si>
    <t>https://cfanadvisors.org/</t>
  </si>
  <si>
    <t>Clean Energy 4 Africa (CE4A)</t>
  </si>
  <si>
    <t>Sudan</t>
  </si>
  <si>
    <t>Mohamed Alhaj</t>
  </si>
  <si>
    <t>Founder and Director</t>
  </si>
  <si>
    <t>mohamed.alhaj@cleanenergy4africa.org</t>
  </si>
  <si>
    <t>https://cleanenergy4africa.org/</t>
  </si>
  <si>
    <t>Climate Finance Advisors</t>
  </si>
  <si>
    <t>Climate Focus</t>
  </si>
  <si>
    <t>Netherlands</t>
  </si>
  <si>
    <t>https://climatefocus.com/</t>
  </si>
  <si>
    <t>Community Energy Malawi</t>
  </si>
  <si>
    <t>https://communityenergymalawi.org/</t>
  </si>
  <si>
    <t>Congo Engineering and Infrastructure</t>
  </si>
  <si>
    <t>Congo</t>
  </si>
  <si>
    <t>CREEC</t>
  </si>
  <si>
    <t>CS Research</t>
  </si>
  <si>
    <t>Mozambique, Malawi, Zambia</t>
  </si>
  <si>
    <t>George Cossa</t>
  </si>
  <si>
    <t>Manager</t>
  </si>
  <si>
    <t xml:space="preserve"> george.cossa@csresearch.co.mz</t>
  </si>
  <si>
    <t>(+256)705575537</t>
  </si>
  <si>
    <t> https://csresearch.co.mz/about-us/</t>
  </si>
  <si>
    <t>Duke University</t>
  </si>
  <si>
    <t>https://duke.edu/</t>
  </si>
  <si>
    <t>Envicom</t>
  </si>
  <si>
    <t>Michael Brown</t>
  </si>
  <si>
    <t>GIS Analyst</t>
  </si>
  <si>
    <t>mbrown@envicomcorporation.com</t>
  </si>
  <si>
    <t>(650) 759-9026</t>
  </si>
  <si>
    <t>https://www.envicomcorporation.com/</t>
  </si>
  <si>
    <t>Hilawe Lekum and Getnet Tasfaye</t>
  </si>
  <si>
    <t>info@ergethio.com</t>
  </si>
  <si>
    <t>(+251)114670802</t>
  </si>
  <si>
    <t>https://www.ergethio.com/about.html</t>
  </si>
  <si>
    <t>Frankfurt School</t>
  </si>
  <si>
    <t>Germany</t>
  </si>
  <si>
    <t>https://www.frankfurt-school.de/en/home/</t>
  </si>
  <si>
    <t>Geviton Enterprises Ltd.</t>
  </si>
  <si>
    <t>Felix Omwansa</t>
  </si>
  <si>
    <t>felix@geviton.co.ke</t>
  </si>
  <si>
    <t>Global Liquid Petroleum Partnerships</t>
  </si>
  <si>
    <t>Elizabeth Muchirii</t>
  </si>
  <si>
    <t>elizabeth.muchiri@glpgp.org</t>
  </si>
  <si>
    <t>https://glpgp.org/</t>
  </si>
  <si>
    <t>Grassroots Business Fund (GBF)</t>
  </si>
  <si>
    <t>Washington, District of Columbia</t>
  </si>
  <si>
    <t>Asia, Africa and Latin America</t>
  </si>
  <si>
    <t>http://www.gbfund.org</t>
  </si>
  <si>
    <t>GSMC</t>
  </si>
  <si>
    <t>DRC</t>
  </si>
  <si>
    <t>Mombito Archmede</t>
  </si>
  <si>
    <t>archimedemombito@gmail.com</t>
  </si>
  <si>
    <t>Hydroconseil</t>
  </si>
  <si>
    <t>ILEEM</t>
  </si>
  <si>
    <t>Sierra Leone</t>
  </si>
  <si>
    <t xml:space="preserve">Institute of Leadership, Energy, Environment, and Management (ILE²M, Sierra Leonne)
</t>
  </si>
  <si>
    <t>Sierra Leonne</t>
  </si>
  <si>
    <t>KEMRI-University of Liverpool Air Pollution Centre of Excellence</t>
  </si>
  <si>
    <t xml:space="preserve">Gohole Akaranga Arthur </t>
  </si>
  <si>
    <t>Manger/ Research Scientist</t>
  </si>
  <si>
    <t>gohole.arthur@gmail.com</t>
  </si>
  <si>
    <t>https://cleanairafrica.com/kemri-university-of-liverpool-air-pollution-centre-of-excellence/</t>
  </si>
  <si>
    <t>Laasfort Consulting Group</t>
  </si>
  <si>
    <t>Sadiq Mohamed</t>
  </si>
  <si>
    <t>Program Coordinator</t>
  </si>
  <si>
    <t>sadiq.mohamed@laasfort.com</t>
  </si>
  <si>
    <t>+254726007119</t>
  </si>
  <si>
    <t>Laterite</t>
  </si>
  <si>
    <t>Sierra Leone, Ethiopia, Kenya, Tanzania,Uganda, Peru, Netherlands</t>
  </si>
  <si>
    <t>Sachin Gathani</t>
  </si>
  <si>
    <t>sgathani@laterite.com</t>
  </si>
  <si>
    <t>https://www.laterite.com/</t>
  </si>
  <si>
    <t xml:space="preserve">Mercados – Aries International </t>
  </si>
  <si>
    <t>Spain</t>
  </si>
  <si>
    <t>MIFIDA</t>
  </si>
  <si>
    <t>https://www.mai.group/</t>
  </si>
  <si>
    <t>MRC Türkiye</t>
  </si>
  <si>
    <t>Turkey</t>
  </si>
  <si>
    <t>Bora Akpinar 
Yigit Erden</t>
  </si>
  <si>
    <t>Business Development Specialist</t>
  </si>
  <si>
    <t>bora.akpinar@mrc-tr.com
yigit.erden@mrc-tr.com</t>
  </si>
  <si>
    <t>+90 (312) 3859354</t>
  </si>
  <si>
    <t>Namibia Energy Institute (NEI)</t>
  </si>
  <si>
    <t>Namibia</t>
  </si>
  <si>
    <t>New Climate Institute</t>
  </si>
  <si>
    <t>Asia, Africa, Latin America</t>
  </si>
  <si>
    <t>Lukas Kahlen</t>
  </si>
  <si>
    <t>Legal Information and Privacy Policy</t>
  </si>
  <si>
    <t>l.kahlen@newclimate.org</t>
  </si>
  <si>
    <t>+49 30 2084927-51</t>
  </si>
  <si>
    <t>https://newclimate.org/</t>
  </si>
  <si>
    <t>OutReach Development Solutions</t>
  </si>
  <si>
    <t>Practical Action Consulting</t>
  </si>
  <si>
    <t>UK</t>
  </si>
  <si>
    <t>Muna Eltahir</t>
  </si>
  <si>
    <t>Director (Sudan Office)</t>
  </si>
  <si>
    <t>info@practicalactionsd.org</t>
  </si>
  <si>
    <t>(+249)155662474 / (+249)155661959</t>
  </si>
  <si>
    <t>https://practicalaction.org/where-we-work/sudan/</t>
  </si>
  <si>
    <t>Esther Zulu</t>
  </si>
  <si>
    <t>esther.zulu@prs.org.zm</t>
  </si>
  <si>
    <t>prs.org.zm</t>
  </si>
  <si>
    <t>PWC</t>
  </si>
  <si>
    <t>RISEFE</t>
  </si>
  <si>
    <t>Salomon LDa</t>
  </si>
  <si>
    <t>Smart Vision Consulting</t>
  </si>
  <si>
    <t>Ismail Haibe</t>
  </si>
  <si>
    <t>info@smartvisionconsultancy.org</t>
  </si>
  <si>
    <t>(+252)907797395 / (+252)634446366</t>
  </si>
  <si>
    <t>https://smartvisionconsultancy.org/</t>
  </si>
  <si>
    <t xml:space="preserve">Stockholm Energy Institute (SEI) </t>
  </si>
  <si>
    <t>Robert Bailis</t>
  </si>
  <si>
    <t>rob.bailis@sei.org</t>
  </si>
  <si>
    <t>+1 (617) 627-3786</t>
  </si>
  <si>
    <t>Strathmore Energy Research Centre (SERC)</t>
  </si>
  <si>
    <t>Thomas Bundi</t>
  </si>
  <si>
    <t>Enegy expert</t>
  </si>
  <si>
    <t>tbundi@strathmore.edu, imaranga@strathmore.edu</t>
  </si>
  <si>
    <t>https://serc.strathmore.edu/</t>
  </si>
  <si>
    <t>SUDD Institute</t>
  </si>
  <si>
    <t>Teknobyte Limited</t>
  </si>
  <si>
    <t>The Energy Nexus Network (TENN)</t>
  </si>
  <si>
    <t>Uchenna Moghalu</t>
  </si>
  <si>
    <t>Senior Director</t>
  </si>
  <si>
    <t>uchenna.moghalu@thekhanagroup.com</t>
  </si>
  <si>
    <t>+234(0)8138142183</t>
  </si>
  <si>
    <t>http://thekhanagroup.com/</t>
  </si>
  <si>
    <t>Triangle Environment</t>
  </si>
  <si>
    <t xml:space="preserve">Sarah Hennnessy
 </t>
  </si>
  <si>
    <t xml:space="preserve">Implementation and Servicing Manager </t>
  </si>
  <si>
    <t xml:space="preserve">sarah@triangle-environmental.com </t>
  </si>
  <si>
    <t xml:space="preserve">(+254) 72-169-6378 </t>
  </si>
  <si>
    <t>www.triangle-environmental.com</t>
  </si>
  <si>
    <t>University College London(UCL)</t>
  </si>
  <si>
    <t>London</t>
  </si>
  <si>
    <t>Violet Nkirote</t>
  </si>
  <si>
    <t>Carbon Projects Associate - Energy</t>
  </si>
  <si>
    <t>vnkirote@verst.earth</t>
  </si>
  <si>
    <t>+ 254 705296671</t>
  </si>
  <si>
    <t>https://verst.earth/</t>
  </si>
  <si>
    <t>Name of Expert</t>
  </si>
  <si>
    <t>Expertise</t>
  </si>
  <si>
    <t xml:space="preserve">Sector </t>
  </si>
  <si>
    <t>Country</t>
  </si>
  <si>
    <t>Phone Number</t>
  </si>
  <si>
    <t>Have we worked with this expert before? (Yes/No)</t>
  </si>
  <si>
    <t>Daily Rate</t>
  </si>
  <si>
    <t>Abdulkadir Ahmed Gabow</t>
  </si>
  <si>
    <t>Renewable Energy</t>
  </si>
  <si>
    <t>Abubakar Swaray</t>
  </si>
  <si>
    <t>Ahmed Hersi Gabow</t>
  </si>
  <si>
    <t>Alec Kimathi</t>
  </si>
  <si>
    <t>WASH Specialist</t>
  </si>
  <si>
    <t>kimathi.alec@gmail.com</t>
  </si>
  <si>
    <t>+254 722 266 987</t>
  </si>
  <si>
    <t>$ 765</t>
  </si>
  <si>
    <t xml:space="preserve">Aminata Dumbuya </t>
  </si>
  <si>
    <t>Energy access and Waste Management</t>
  </si>
  <si>
    <t>Sierra Leonean/American</t>
  </si>
  <si>
    <t>amidumbuya@gmail.com</t>
  </si>
  <si>
    <t>+232 76 242 328</t>
  </si>
  <si>
    <t>$750</t>
  </si>
  <si>
    <t>Amy Shipow</t>
  </si>
  <si>
    <t>Behaviour Change</t>
  </si>
  <si>
    <t>Public Health</t>
  </si>
  <si>
    <t>American</t>
  </si>
  <si>
    <t xml:space="preserve">Andy </t>
  </si>
  <si>
    <t>Anna Yalouris</t>
  </si>
  <si>
    <t>American/British</t>
  </si>
  <si>
    <t>Arig Gaffer Bakhiet</t>
  </si>
  <si>
    <t>Ashington Ngigi</t>
  </si>
  <si>
    <t>ashington@integral-advisory.com</t>
  </si>
  <si>
    <t xml:space="preserve">Bebeto </t>
  </si>
  <si>
    <t>Bernard Kiarie</t>
  </si>
  <si>
    <t>Finance</t>
  </si>
  <si>
    <t>Economics</t>
  </si>
  <si>
    <t>Billy Yarro</t>
  </si>
  <si>
    <t>Caroline Torotich</t>
  </si>
  <si>
    <t>carojt@yahoo.com</t>
  </si>
  <si>
    <t>Telephone: +254722506165</t>
  </si>
  <si>
    <t xml:space="preserve">Chima Muoneke </t>
  </si>
  <si>
    <t>muonekechima@gmail.com</t>
  </si>
  <si>
    <t>+234 816 229 6020</t>
  </si>
  <si>
    <t>Chrispin Gogoda</t>
  </si>
  <si>
    <t>Christian Uvugukuli</t>
  </si>
  <si>
    <t>Data collection</t>
  </si>
  <si>
    <t>cuvugukuli@outreachds.biz</t>
  </si>
  <si>
    <t>Clarice Wambua</t>
  </si>
  <si>
    <t>Legal</t>
  </si>
  <si>
    <t>Environment and Climate Change</t>
  </si>
  <si>
    <t>clarice.wambua@cdhlegal.com</t>
  </si>
  <si>
    <t>(+254)722456425</t>
  </si>
  <si>
    <t>Cliff Nyaga</t>
  </si>
  <si>
    <t>Cyril Grant</t>
  </si>
  <si>
    <t>grantnj2@gmail.com</t>
  </si>
  <si>
    <t>Dan Ndenga</t>
  </si>
  <si>
    <t>Energy Audit</t>
  </si>
  <si>
    <t>dndenga@miltec.co.ke</t>
  </si>
  <si>
    <t>+254 721 944 904</t>
  </si>
  <si>
    <t>David Okello</t>
  </si>
  <si>
    <t>Development</t>
  </si>
  <si>
    <t>davekelo@gmail.com</t>
  </si>
  <si>
    <t>(+256)702 810405</t>
  </si>
  <si>
    <t>Diana Awuor Ochieng</t>
  </si>
  <si>
    <t>Environment and Social Safeguards</t>
  </si>
  <si>
    <t>Environmental Management</t>
  </si>
  <si>
    <t xml:space="preserve">diana.ochieng@gmail.com </t>
  </si>
  <si>
    <t>(+254)726177177</t>
  </si>
  <si>
    <t>Doreen Irungu</t>
  </si>
  <si>
    <t>Dr Makame Omar Makame</t>
  </si>
  <si>
    <t>Dr. Fredrick Nyang'</t>
  </si>
  <si>
    <t>Economist</t>
  </si>
  <si>
    <t>foloonyang@gmail.com</t>
  </si>
  <si>
    <t>Dr. Vincent Were</t>
  </si>
  <si>
    <t>Health Researcher</t>
  </si>
  <si>
    <t>Health</t>
  </si>
  <si>
    <t>vincentwere@gmail.com/vwere@wellcome.org</t>
  </si>
  <si>
    <t>+254 721876573</t>
  </si>
  <si>
    <t>Edna Odhiambo</t>
  </si>
  <si>
    <t>Ednah Odhiambo</t>
  </si>
  <si>
    <t>Energy and Climate Change</t>
  </si>
  <si>
    <t>Elizabeth Muchiri</t>
  </si>
  <si>
    <t>Elvin Nyukuri</t>
  </si>
  <si>
    <t>Development Policy</t>
  </si>
  <si>
    <t>nyukuri.e@gmail.com</t>
  </si>
  <si>
    <t>(+254) (02) 070317398</t>
  </si>
  <si>
    <t xml:space="preserve">Eng. Henry Njuguna </t>
  </si>
  <si>
    <t>Fabrice Rambeloarisoa</t>
  </si>
  <si>
    <t>ReneEnergy</t>
  </si>
  <si>
    <t>Madagascar</t>
  </si>
  <si>
    <t>fabriceramm@gmail.com</t>
  </si>
  <si>
    <t>+261341474196</t>
  </si>
  <si>
    <t>$ 700</t>
  </si>
  <si>
    <t>Power engineering</t>
  </si>
  <si>
    <t>Franklin NANA</t>
  </si>
  <si>
    <t>Social Research</t>
  </si>
  <si>
    <t>Cameroon</t>
  </si>
  <si>
    <t>Fred Tuhairwe</t>
  </si>
  <si>
    <t>fredtuhairwe@gmail.com</t>
  </si>
  <si>
    <t>+256773034686 or +256703946746</t>
  </si>
  <si>
    <t>Gift Gomezga</t>
  </si>
  <si>
    <t>Malawian</t>
  </si>
  <si>
    <t>Harrison Mbori</t>
  </si>
  <si>
    <t>Hilawe Lakew Tesema</t>
  </si>
  <si>
    <t>hilawe.LT@gmail.com</t>
  </si>
  <si>
    <t>+251 912 629 423</t>
  </si>
  <si>
    <t>Innocent Tumwebaze</t>
  </si>
  <si>
    <t>Jacob Fink Ferdinand</t>
  </si>
  <si>
    <t>Circular Economy</t>
  </si>
  <si>
    <t>Denmark</t>
  </si>
  <si>
    <t>Jacob Oyugi</t>
  </si>
  <si>
    <t>Job Muthini Kitetu</t>
  </si>
  <si>
    <t>jobmuthini@gmail.com</t>
  </si>
  <si>
    <t>(+254)722399618</t>
  </si>
  <si>
    <t>Jok Gai Anai</t>
  </si>
  <si>
    <t>Kevin Kalegeya</t>
  </si>
  <si>
    <t>Kuziva Huni</t>
  </si>
  <si>
    <t>Lawrence Mashungu</t>
  </si>
  <si>
    <t>lawrencemashungu@gmail.co</t>
  </si>
  <si>
    <t>(+263) 733839792 or (+263) 772429093</t>
  </si>
  <si>
    <t>Leornard King'wara</t>
  </si>
  <si>
    <t>Linda Ihuthia</t>
  </si>
  <si>
    <t>Lucille Onyango</t>
  </si>
  <si>
    <t>Gender</t>
  </si>
  <si>
    <t>lucilleonyango@gmail.com</t>
  </si>
  <si>
    <t>(+254)711187200</t>
  </si>
  <si>
    <t>Lydia Mwithiga</t>
  </si>
  <si>
    <t>Mahery Harilala</t>
  </si>
  <si>
    <t>maharilala@gmail.com</t>
  </si>
  <si>
    <t>+261 34 24 088 29</t>
  </si>
  <si>
    <t>Manhundu</t>
  </si>
  <si>
    <t>Maryam Garelnabi</t>
  </si>
  <si>
    <t>maryam.garelnabi@gmail.com</t>
  </si>
  <si>
    <t>Mata Coulibaly</t>
  </si>
  <si>
    <t>Maurice Kimani</t>
  </si>
  <si>
    <t>kimani.maurice@gmail.com</t>
  </si>
  <si>
    <t>+254 723 688 899</t>
  </si>
  <si>
    <t>Max Friedrich</t>
  </si>
  <si>
    <t>Mercy Mwikali</t>
  </si>
  <si>
    <t>Children and Social Safeguards</t>
  </si>
  <si>
    <t>Project Management</t>
  </si>
  <si>
    <t>Miyir Mohamed</t>
  </si>
  <si>
    <t>Djibouti</t>
  </si>
  <si>
    <t xml:space="preserve">miyirmed@gmail.com </t>
  </si>
  <si>
    <t>(+253)21343252 / (+253)77811971</t>
  </si>
  <si>
    <t>Mlanjeni Tikiso</t>
  </si>
  <si>
    <t>Electrical Engineering</t>
  </si>
  <si>
    <t xml:space="preserve">mlanjenijoshua@gmail.com </t>
  </si>
  <si>
    <t xml:space="preserve">+266 6863722 </t>
  </si>
  <si>
    <t>Muino Taquidir</t>
  </si>
  <si>
    <t>Forestry</t>
  </si>
  <si>
    <t>Climate</t>
  </si>
  <si>
    <t>Nancy Serenje</t>
  </si>
  <si>
    <t>nserenje13@gmail.com</t>
  </si>
  <si>
    <t>+260979434983</t>
  </si>
  <si>
    <t>Njobvu Clement</t>
  </si>
  <si>
    <t>Pauline Wanjohi -</t>
  </si>
  <si>
    <t>Pooja Gupta</t>
  </si>
  <si>
    <t>Communication</t>
  </si>
  <si>
    <t>Indian</t>
  </si>
  <si>
    <t>Precious Phiri</t>
  </si>
  <si>
    <t>Prof Albert Mumma</t>
  </si>
  <si>
    <t>Prof Cuthbert Kimambo</t>
  </si>
  <si>
    <t>Energy/ Academia</t>
  </si>
  <si>
    <t>cuthbertkimambo@yahoo.com</t>
  </si>
  <si>
    <t>Prof Oliver Vivian Wasonga</t>
  </si>
  <si>
    <t>Dryland Ecosystems and Climate Change Adaptation</t>
  </si>
  <si>
    <t>Agriculture/Climate change</t>
  </si>
  <si>
    <t>oliverwasonga@uonbi.ac.ke</t>
  </si>
  <si>
    <t>+254 722 258 765/+254 734 258 765</t>
  </si>
  <si>
    <t>$ 900</t>
  </si>
  <si>
    <t>Sahr Abraham</t>
  </si>
  <si>
    <t>Sergio Joao</t>
  </si>
  <si>
    <t>Climate Finance</t>
  </si>
  <si>
    <t>Sithole</t>
  </si>
  <si>
    <t>Sudha Setty</t>
  </si>
  <si>
    <t>Yahye Muktar</t>
  </si>
  <si>
    <t>Yvonne Kavuo</t>
  </si>
  <si>
    <t>Yvonne Mingate</t>
  </si>
  <si>
    <t>Yvonne Nyokabi</t>
  </si>
  <si>
    <t>Climate Change</t>
  </si>
  <si>
    <t>Team Chi</t>
  </si>
  <si>
    <t>Team Phi</t>
  </si>
  <si>
    <t>Team Kappa</t>
  </si>
  <si>
    <t>Team Gamma</t>
  </si>
  <si>
    <t>Team Delta</t>
  </si>
  <si>
    <t>GJ</t>
  </si>
  <si>
    <t>MW</t>
  </si>
  <si>
    <t>CA</t>
  </si>
  <si>
    <t>SA</t>
  </si>
  <si>
    <t>World Food Programme (WFP)</t>
  </si>
  <si>
    <t>Waste Management</t>
  </si>
  <si>
    <t>Siemens</t>
  </si>
  <si>
    <t>Multiple</t>
  </si>
  <si>
    <t xml:space="preserve">Country covered </t>
  </si>
  <si>
    <t>BD Source (From DevAid)</t>
  </si>
  <si>
    <t xml:space="preserve">Essays </t>
  </si>
  <si>
    <t>Year</t>
  </si>
  <si>
    <t>Methodology</t>
  </si>
  <si>
    <t>Expected Date of Response (EDR)</t>
  </si>
  <si>
    <t>Academia</t>
  </si>
  <si>
    <t>Anglia Ruskin University</t>
  </si>
  <si>
    <t>Energy Catalyst 11 – Early Stage</t>
  </si>
  <si>
    <t>IUCN</t>
  </si>
  <si>
    <t>IslandPlas Project Innovation and Entrepreneurship Program</t>
  </si>
  <si>
    <t>Cabo Verde, Comoros, Madagascar, Mauritius, São Tomé and Príncipe, Seychelles, and Zanzibar</t>
  </si>
  <si>
    <t>AmA</t>
  </si>
  <si>
    <t>EMPOW'HER</t>
  </si>
  <si>
    <t>END-TERM EVALUATION – EMPOW’HER PROGRAM IN BURKINA FASO</t>
  </si>
  <si>
    <t>Monitoring and Evaluation</t>
  </si>
  <si>
    <t>TCHIRA Conseils</t>
  </si>
  <si>
    <t>LuxDev</t>
  </si>
  <si>
    <t>Consultancy mission for the mid-term evaluation of a multi-country development program in the Sahel</t>
  </si>
  <si>
    <t>Sahel region</t>
  </si>
  <si>
    <t>Climate and Clean Air Coalition</t>
  </si>
  <si>
    <t xml:space="preserve">Accelerating Uptake of eCooking </t>
  </si>
  <si>
    <t>Kenya, Senegal, Ghana</t>
  </si>
  <si>
    <t>CATF</t>
  </si>
  <si>
    <t>TA for the Implementation of a Line of Credit - DTB-K</t>
  </si>
  <si>
    <t>FCDO</t>
  </si>
  <si>
    <t xml:space="preserve">Generating evidence from UK-supported energy pilots in Uganda to inform policy  
coherence, scale and investment for the energy transition </t>
  </si>
  <si>
    <t>AB</t>
  </si>
  <si>
    <t>INENSUS</t>
  </si>
  <si>
    <t>The International Food Policy Research Institute (IFPRI)</t>
  </si>
  <si>
    <t>Data collection on Understanding Food Losses Among Potato Producers</t>
  </si>
  <si>
    <t>Jane Lukachi</t>
  </si>
  <si>
    <t>RVO Netherlands Enterprise Agency</t>
  </si>
  <si>
    <t>Developing Togo's national clean cooking program</t>
  </si>
  <si>
    <t>Togo</t>
  </si>
  <si>
    <t>GGGI</t>
  </si>
  <si>
    <t>Unlocking the potential of the Energy and Water Nexus in the Energy Transition in Senegal</t>
  </si>
  <si>
    <t>GPE Feasibility Study: Adoption of Clean Cooking Technologies in Schools</t>
  </si>
  <si>
    <t>Results Based Grant – Results Verification, Senegal</t>
  </si>
  <si>
    <t>Food for the Hungry</t>
  </si>
  <si>
    <t>Integrated Resilience and Energy Systems for Livelihood Transformation in ASALs</t>
  </si>
  <si>
    <t>AMREF</t>
  </si>
  <si>
    <t>Quantifying the Hidden Health Costs of Climate Change for Equitable Health System Adaptation in Eastern and Southern Africa</t>
  </si>
  <si>
    <t>Kenya and Malawi</t>
  </si>
  <si>
    <t>Kabarak University</t>
  </si>
  <si>
    <t>Stitching IDH</t>
  </si>
  <si>
    <t>Investment Readiness Assessment and Advisory Support</t>
  </si>
  <si>
    <t>Tanzania &amp; Ethiopia</t>
  </si>
  <si>
    <t>Augustine Msanga (TZ), Tewodros Berihum (Eth), Pierre Quiry</t>
  </si>
  <si>
    <t>GEEF - ReCCAWA - GEEF Further Agreement 1:Inception &amp; Knowledge Management</t>
  </si>
  <si>
    <t>West Africa Region</t>
  </si>
  <si>
    <t>FSD Africa</t>
  </si>
  <si>
    <t>Nature -First Innovation Lab</t>
  </si>
  <si>
    <t>Tanzania, Malawi, Ethiopia</t>
  </si>
  <si>
    <t>AHL Ventures</t>
  </si>
  <si>
    <t>AHL Rwanda Cookstove Carbon Project DD</t>
  </si>
  <si>
    <t>Due Diligence</t>
  </si>
  <si>
    <t>Samuel Mayieko</t>
  </si>
  <si>
    <t>FSD Kenya</t>
  </si>
  <si>
    <t>Scoping of Green Business Models in 14 Counties</t>
  </si>
  <si>
    <t>Startup Discovery School (SDS)</t>
  </si>
  <si>
    <t>WAASP Monitoring, Evaluation and Learning (MEL) Partner</t>
  </si>
  <si>
    <t>Senegal &amp; Ghana</t>
  </si>
  <si>
    <t>Dr. Koji (Research Desk Consulting)</t>
  </si>
  <si>
    <t>Siemens  Stiftung - Enterprise Strategy and Financial Modelling Support (Uganda)</t>
  </si>
  <si>
    <t>Loughborough University</t>
  </si>
  <si>
    <t>Provision of Services to Support the Delivery of the Loughborough University-Led Programme, ‘Accelerating eCooking Uptake in Africa and South Asia (ACUASA).- (LotTwo)</t>
  </si>
  <si>
    <t>Outreach Development Solutions Ltd</t>
  </si>
  <si>
    <t>Data Collection on Child and Adolescent Centred Nutrition Indicators (CAN-I) in Kenya</t>
  </si>
  <si>
    <t>Strathmore University</t>
  </si>
  <si>
    <t>Lightrock</t>
  </si>
  <si>
    <t>Modern Cooking Capital Deployment</t>
  </si>
  <si>
    <t>Nairobi Climate Adaptation and Resilience Plan (NCARP) Phase 1</t>
  </si>
  <si>
    <t>D’Arcy Carlson (Climate Adaptation &amp; Resilience Expert)</t>
  </si>
  <si>
    <t>Technical Support for the development of Mitigation Action Design Document 
(MADD) in Kenya and Zambia</t>
  </si>
  <si>
    <t>Kenya &amp; Zambia</t>
  </si>
  <si>
    <t>Hamerkop</t>
  </si>
  <si>
    <t>Lesotho Ministry of Energy</t>
  </si>
  <si>
    <t>Nationwide survey to identify unelectrified settlements</t>
  </si>
  <si>
    <t>Energy (National Survey)</t>
  </si>
  <si>
    <t>Analytical Research Hub</t>
  </si>
  <si>
    <t>MWA</t>
  </si>
  <si>
    <t>Endline Evaluation of the Resilient Arid Lands Partnership for Integrated Development Plus (RAPID+),
2026</t>
  </si>
  <si>
    <t>Energy Access Institutions Facility (EAIF) Mid-Term Review</t>
  </si>
  <si>
    <t>Program-based</t>
  </si>
  <si>
    <t>Nigerian Energy Transition and Access Programme</t>
  </si>
  <si>
    <t>Switch to circular economy in East and Southern Africa (Switch 2 CE in ESA)</t>
  </si>
  <si>
    <t>Africa Management Institute</t>
  </si>
  <si>
    <t>White Paper on West African Regional Clean Cooking Policy and Standards</t>
  </si>
  <si>
    <t>Give Directly</t>
  </si>
  <si>
    <t>Climate Finance and Policy Consultancy</t>
  </si>
  <si>
    <t>Carbon Access Lab (Uganda)</t>
  </si>
  <si>
    <t xml:space="preserve">Word Vision International </t>
  </si>
  <si>
    <t> Mapping Opportunities for WASH and Climate Action (ESCA) Programming</t>
  </si>
  <si>
    <t xml:space="preserve">Regional </t>
  </si>
  <si>
    <t>European Bank for Reconstruction and Development</t>
  </si>
  <si>
    <t>Comprehensive business advisory service for high-potential small and medium-sized enterprises (SMEs) in Sub-Sahara Africa</t>
  </si>
  <si>
    <t>Innohub Limited</t>
  </si>
  <si>
    <t>Independent Verification Services for REACT 2.0, Kenya and Ethiopia</t>
  </si>
  <si>
    <t>Kenya, Ethiopia</t>
  </si>
  <si>
    <t>Ethio Resource Group (Hilawe Tafew)</t>
  </si>
  <si>
    <t>Energy PUE and Clean Cooking</t>
  </si>
  <si>
    <t>Feasibility study for clean energy solutions across Kenya Tea Development Agency (KTDA) facilities</t>
  </si>
  <si>
    <t>Miltec Engineering</t>
  </si>
  <si>
    <t>SEVES</t>
  </si>
  <si>
    <t>Final Evaluation of WASH program in Cameroon &amp; Togo</t>
  </si>
  <si>
    <t>Cameroon &amp; Togo</t>
  </si>
  <si>
    <t>K&amp;Y Advisors</t>
  </si>
  <si>
    <t>Framework Agreement for Technical Assistance to Support Banks and Financial Institutions (FIs) in Establishing and Executing Green Lending</t>
  </si>
  <si>
    <t>Democratic Republic of Congo (DRC), Ethiopia, Kenya, Rwanda, Tanzania, Uganda, Zambia, and Zimbabwe,</t>
  </si>
  <si>
    <t>TO</t>
  </si>
  <si>
    <t>End-line Evaluation - Food Security and Child Nutrition Program</t>
  </si>
  <si>
    <t>Expertise France Groupe AFD</t>
  </si>
  <si>
    <t>Eastern and Southern Africa</t>
  </si>
  <si>
    <t>Sustainable Appliances Marketplace for Africa &amp; Asia (SAMPA)</t>
  </si>
  <si>
    <t>Africa / Asia</t>
  </si>
  <si>
    <t>Malawi Ministry of Energy and Mining</t>
  </si>
  <si>
    <t>Accelerating Sustainable and Clean Energy Access Transformation in Malawi
(ASCENT Malawi) Project</t>
  </si>
  <si>
    <t>Consultancy Services FOR Capacity Development, Training and Research Needs Assessment for the Water Sector National Urban Water Supply and Sanitation Program (NUWSSP)</t>
  </si>
  <si>
    <t>Sachsen Wasser GMBH</t>
  </si>
  <si>
    <t>Outcome – Based Approaches to Mobilize Clean Cooking Investments</t>
  </si>
  <si>
    <t>Rob Bailis and Marc Jeuland</t>
  </si>
  <si>
    <t>Feasibility Study for Clean Energy in Kenya Development Agency (KTDA) Facilities</t>
  </si>
  <si>
    <t>Independent Verification Services for REACT 2.0 Kenya and Ethiopia</t>
  </si>
  <si>
    <t>Ethiopia Ministry of Energy and Water</t>
  </si>
  <si>
    <t>Framework Agreement for Independent Verification Agent (IVA) Consultancy Services under ASCENT</t>
  </si>
  <si>
    <t>P-21 Consulting</t>
  </si>
  <si>
    <t>ASF Consulting</t>
  </si>
  <si>
    <t>Call for ESG Experts – Zimbabwe, Congo, and DR Congo</t>
  </si>
  <si>
    <t>Sustainability/ESG</t>
  </si>
  <si>
    <t>Audits/ESDD</t>
  </si>
  <si>
    <t>Zimbabwe, Congo &amp; DRC</t>
  </si>
  <si>
    <t>Women's World Banking</t>
  </si>
  <si>
    <t>Research Firm and Consultants in Kenya, Uganda, Tanzania, Zambia and Nigeria</t>
  </si>
  <si>
    <t>Kenya, Uganda, Tanzania, Zambia and Nigeria</t>
  </si>
  <si>
    <t>National Energy Surveys in Nigeria and Liberia</t>
  </si>
  <si>
    <t>Liberia and Nigeria</t>
  </si>
  <si>
    <t>Management of the Africa Energy Portal</t>
  </si>
  <si>
    <t>African Countries</t>
  </si>
  <si>
    <t>From Devaid</t>
  </si>
  <si>
    <t>Lux Dev - Luxembourg Dev. Agency</t>
  </si>
  <si>
    <t>Impact Studies Assessment</t>
  </si>
  <si>
    <t xml:space="preserve">Multiple </t>
  </si>
  <si>
    <t>CILSS</t>
  </si>
  <si>
    <t>Resilience Program for Food Insecurity in Sahel Region</t>
  </si>
  <si>
    <t>British American Tobacco (BAT)</t>
  </si>
  <si>
    <t>Technical Guidance on Living Income Study</t>
  </si>
  <si>
    <t>NEFCO</t>
  </si>
  <si>
    <t xml:space="preserve">Technical Assistance Services to the Modern Cooking Facility for Africa (MCFA) </t>
  </si>
  <si>
    <t>IKI</t>
  </si>
  <si>
    <t>Potential Collaboration on IKI Medium grant</t>
  </si>
  <si>
    <t>Energy Efficiency Proof of Concept for SMEs in Ghana</t>
  </si>
  <si>
    <t>Miltec</t>
  </si>
  <si>
    <t>COMESA</t>
  </si>
  <si>
    <t xml:space="preserve">Market Assessment of Productive Uses of Renewable Energy (PURE) </t>
  </si>
  <si>
    <t>COMESA Countries</t>
  </si>
  <si>
    <t>GOGLA , CLASP</t>
  </si>
  <si>
    <t>Consultancy Services for the Management of the Project Preparation Facility (PPF Manager)</t>
  </si>
  <si>
    <t>Africa REN</t>
  </si>
  <si>
    <t>Developing a Commercial &amp; Industrial (C&amp;I) Solar Pipeline Across Sub-Saharan Africa</t>
  </si>
  <si>
    <t>Energy Access: E mobility and Minigrid synergies</t>
  </si>
  <si>
    <t xml:space="preserve">Kenya, Ethiopia, Nigeria, </t>
  </si>
  <si>
    <t>AMDA</t>
  </si>
  <si>
    <t>Development of Zanzibar's Clean Cooking Strategy</t>
  </si>
  <si>
    <t>Zanzibar</t>
  </si>
  <si>
    <t>Lesotho MTF</t>
  </si>
  <si>
    <t>SIQ PTY</t>
  </si>
  <si>
    <t>End term evaluation of the REACT Program</t>
  </si>
  <si>
    <t>Project evaluation</t>
  </si>
  <si>
    <t>Sub-saharan Africa</t>
  </si>
  <si>
    <t>Q3</t>
  </si>
  <si>
    <t>Kenya Transmission PPPs</t>
  </si>
  <si>
    <t xml:space="preserve">Clean Air Task Force (CATF) </t>
  </si>
  <si>
    <t>Real-Time Electricity Monitoring for Sub-Saharan Africa Using Smart Power Meters</t>
  </si>
  <si>
    <t>Consultant services to support the promotion and scale up of Productive Uses of Electricity (PUE)</t>
  </si>
  <si>
    <t>The DRC</t>
  </si>
  <si>
    <t>Technical implementation support towards an Integrated WASH Services Model in Refugee Hosting Areas of Kenya</t>
  </si>
  <si>
    <t>Consultancy Services for Design and Deployment of a Results Monitoring Dashboard for Off Grid Energy Solutions</t>
  </si>
  <si>
    <t xml:space="preserve">Strathmore University </t>
  </si>
  <si>
    <t>MTF Zimbabwe</t>
  </si>
  <si>
    <t xml:space="preserve">Consumer Feedback Consultancy (CFC) </t>
  </si>
  <si>
    <t>International Finance Corporation (IFC)</t>
  </si>
  <si>
    <t>Assessment of Green Finance Opportunities in Africa </t>
  </si>
  <si>
    <t>Technical Assistance for the Implementation of a Line of Credit Dedicated to Energy Efficiency (EE) and Renewable Energy (RE)</t>
  </si>
  <si>
    <t>EDCL</t>
  </si>
  <si>
    <t>Rwanda - Energy Access and Quality Improvement Project</t>
  </si>
  <si>
    <t>Quantum America, Noubeg Power</t>
  </si>
  <si>
    <t>Trade Development BAnk</t>
  </si>
  <si>
    <t>Consulting Services for Independent Verification Agent</t>
  </si>
  <si>
    <t>Consultancy Services for a Master Service Agreement to Develop and Maintain a DRE Knowledge Hub For the World Bank’s Mission 300</t>
  </si>
  <si>
    <t>Sub-Saharan Africa</t>
  </si>
  <si>
    <t>AECF Portal</t>
  </si>
  <si>
    <t>Design, Supervision, and Procurement Support for Solar-Powered Water Supply Systems, Water Treatment Plant, and Reticulation Systems</t>
  </si>
  <si>
    <t xml:space="preserve">DevEmerge </t>
  </si>
  <si>
    <t xml:space="preserve">Develop Key Elements and Recommendations for a Productive Use of Energy (PUE) Strategy and Implementation Plan for Uganda </t>
  </si>
  <si>
    <t>Evandetec - Lead</t>
  </si>
  <si>
    <t>Climate Compatible Growth (CCG)</t>
  </si>
  <si>
    <t>Southern Partner Fund</t>
  </si>
  <si>
    <t>UCL</t>
  </si>
  <si>
    <t xml:space="preserve">ClimateWorks </t>
  </si>
  <si>
    <t>Mapping hotspots and empowering communities to adapt to and manage extreme heat vulnerabilities in Nairobi’s informal settlements</t>
  </si>
  <si>
    <t>ERI</t>
  </si>
  <si>
    <t>GIS Mapping</t>
  </si>
  <si>
    <t xml:space="preserve">Clark University </t>
  </si>
  <si>
    <t>Consulting Services to provide monitoring and evaluation services to TDB to track progress across key performance indicators for the RIFF projects</t>
  </si>
  <si>
    <t>Q4</t>
  </si>
  <si>
    <t>Kakuma Kalobeyei Challenge Fund End of the Program Strategic Review</t>
  </si>
  <si>
    <t>Project Impact Evaluation"Inclusive Basic Services Delivery and Livelihood Empowerment Program in North East States of Nigeria"</t>
  </si>
  <si>
    <t>Service Provider to Facilitate Export Horticulture Production Business Model Development Services to the Climate Adaptation Water and Energy Project (CAWEP) beneficiaries</t>
  </si>
  <si>
    <t xml:space="preserve">Zimbabwe </t>
  </si>
  <si>
    <t>AFD</t>
  </si>
  <si>
    <t>Local Coordination Partner and Local Technical Assistance (TA) Implementation Partner for Tanzania</t>
  </si>
  <si>
    <t>Light Rock</t>
  </si>
  <si>
    <t>Concept Note - Framework for eCooking Tariffs</t>
  </si>
  <si>
    <t>Concept Note - Subsidies: Framework for Efficient Price Discovery</t>
  </si>
  <si>
    <t>Feasibility Study to Evaluate Suitability of Various Clean Cooking Technologies in School Environment - EOI-WFPKEN25002</t>
  </si>
  <si>
    <t>Niger Resilience FUP Survey</t>
  </si>
  <si>
    <t>Trade Development Bank</t>
  </si>
  <si>
    <t>CrossBoundary Energy Access Platform</t>
  </si>
  <si>
    <t>Data Collection on productive use equipment in West, Eastern &amp; Southern Africa</t>
  </si>
  <si>
    <t>Nigeria, Madagascar</t>
  </si>
  <si>
    <t xml:space="preserve">Impact Evaluation Long-term follow-up survey of the WFP resilience programme in Niger </t>
  </si>
  <si>
    <t>Niger</t>
  </si>
  <si>
    <t>2M Consulting</t>
  </si>
  <si>
    <t>Climate &amp; Clean Air Coalition</t>
  </si>
  <si>
    <t>CCAC Challenge Programme – Accelerating uptake of eCooking in Africa</t>
  </si>
  <si>
    <t>Kenya, Uganda, Senegal, Ghana</t>
  </si>
  <si>
    <t>CATF - Lead
SEI</t>
  </si>
  <si>
    <t>ACBF</t>
  </si>
  <si>
    <t>Developing Paris policy formulation and management guideline and facilitating training of RMCs in monitoring and reporting on climate impact – CADAS</t>
  </si>
  <si>
    <t>Development of modules for the training of RMCs (Risk Management Committees) in gender sensitive policies and strategies</t>
  </si>
  <si>
    <t>GEAPP</t>
  </si>
  <si>
    <t>Consulting Services for National Industrialization Policy Update</t>
  </si>
  <si>
    <t>Research and Validation</t>
  </si>
  <si>
    <t>Energy surveys in Refugee Camps in Ethiopia</t>
  </si>
  <si>
    <t>UNOPS</t>
  </si>
  <si>
    <t>Request for Proposal for Consultancy Services to Conduct Market Assessment and Develop a Roadmap for SEforALL Powering Healthcare Programme in Democratic Republic of Congo</t>
  </si>
  <si>
    <t>Democratic Republic of Congo</t>
  </si>
  <si>
    <t>Developing Malawi Clean Cooking Strategy</t>
  </si>
  <si>
    <t>Community Energy Malawi, Margaret Matinda</t>
  </si>
  <si>
    <t>Energy for Savings Trust</t>
  </si>
  <si>
    <t>Consultancy Services to support research assessing the role of early stage support to PUE companies</t>
  </si>
  <si>
    <t>Dr. Ben Robinson</t>
  </si>
  <si>
    <t xml:space="preserve"> UK PACT</t>
  </si>
  <si>
    <t xml:space="preserve"> Project 3: Technical support for integrated energy planning</t>
  </si>
  <si>
    <t>UCL – University College London</t>
  </si>
  <si>
    <t>Development of the KNCTS Action Plan</t>
  </si>
  <si>
    <t>National Energy Surveys in Liberia and Nigeria</t>
  </si>
  <si>
    <t>Enable-Beligium Development Agency</t>
  </si>
  <si>
    <t>Regional Program for SMEs in green business</t>
  </si>
  <si>
    <t>Senegal, Benin, Togo, Kenya &amp; South-Africa</t>
  </si>
  <si>
    <t>NRDC - Natural Resources Defense Council</t>
  </si>
  <si>
    <t>Development of Africa Expansion's Strategy</t>
  </si>
  <si>
    <t>West &amp; Southern Africa</t>
  </si>
  <si>
    <t>RELP</t>
  </si>
  <si>
    <t>RELP- Global Bankability Score Data Validation</t>
  </si>
  <si>
    <t>Bayes Consulting</t>
  </si>
  <si>
    <t>Economic Pathways to Budget-Neutral Energy Transitions</t>
  </si>
  <si>
    <t>Kenya, Uganda, Malawi, Tanzania and Ethiopia</t>
  </si>
  <si>
    <t>Household level preparedness to food security &amp; climate shocks and develop inclusive contingency plans to respond to economic and climate-related shocks, with gender lens In Nairobi, Nakuru, &amp; Nyandarua counties</t>
  </si>
  <si>
    <t>AGRA Sustainably Growing Africa's Food Systems</t>
  </si>
  <si>
    <t>Climate vulnerability mapping and climate change risk analysis for guiding climate adaptation interventions and investments in five African countries (Ghana, Kenya, Tanzania, Uganda &amp; Zambia)</t>
  </si>
  <si>
    <t>Ghana, Kenya, Tanzania, Uganda &amp; Zambia</t>
  </si>
  <si>
    <t>Envicom, Keni Kariuki</t>
  </si>
  <si>
    <t>The African Climate Foundation (ACF)</t>
  </si>
  <si>
    <t>Investment Opportunity Assessment: Advancing Electric Mobility in Africa</t>
  </si>
  <si>
    <t>Gender experts/women rights organizations Consortia for studies for Investing in Women Programme in Benin and Burkina Faso</t>
  </si>
  <si>
    <t>Benin &amp; Burkina Faso</t>
  </si>
  <si>
    <t>UNICEF</t>
  </si>
  <si>
    <t>Baseline for Nexus for Water and Energy in Zambia - Water, Sanitation and Hygiene (NEWZA WASH) NDCI AFRICA/2024/461-468</t>
  </si>
  <si>
    <t>Government Agency</t>
  </si>
  <si>
    <t>ANER (National Renewable Energy Agency - Senegal)</t>
  </si>
  <si>
    <t>Community solar pumping systems and the solarization of rural boreholes</t>
  </si>
  <si>
    <t>Capacity Building and Supporting Pipeline Development and Tracking of Climate-Smart Loans for Sidian Bank</t>
  </si>
  <si>
    <t>International Solar Alliance (ISA)</t>
  </si>
  <si>
    <t>Preperation of National Solar Energy Roadmap (Uganda)</t>
  </si>
  <si>
    <t>CREEC- Centre for Reasearch in Energy and Energy Conservation</t>
  </si>
  <si>
    <t>Project 2: Accelerating clean cooking adoption: A data-driven approach and capacity building</t>
  </si>
  <si>
    <t>SEI and Burn Lab</t>
  </si>
  <si>
    <t>Global bankability score data validation for: Burkina Faso, Côte d´Ivoire, Democratic Republic of Congo, Ethiopia, Malawi, Nigeria, Senegal, South Africa, Togo, Uganda and Zambia</t>
  </si>
  <si>
    <t>Burkina Faso, Côte d´Ivoire, Democratic Republic of Congo, Ethiopia, Malawi, Nigeria, Senegal, South Africa, Togo,</t>
  </si>
  <si>
    <t>Mid-Term Study and End-Project Evaluation for the Prossev-Bf Project in Burkina Faso</t>
  </si>
  <si>
    <t>Kenya Climate Innovation Center (KCIC)</t>
  </si>
  <si>
    <t>Enterprise Support and Development Spoke Pillar</t>
  </si>
  <si>
    <t>Swiss Agency for Development Corporation SDC</t>
  </si>
  <si>
    <t>Market assessment on the challenges and opportunities to improve the climate resilience of (agro-) pastoral communities through private sector engagement in Water programming in Somalia</t>
  </si>
  <si>
    <t>AFI</t>
  </si>
  <si>
    <t>Developing Inclusive Green Finance Roadmap for the Banco de Moçambique</t>
  </si>
  <si>
    <t>Foundation</t>
  </si>
  <si>
    <t>Pit to Palace</t>
  </si>
  <si>
    <t>Fundraising Clinic - Targted Capacity Building for SME's, Start Ups and CBOs</t>
  </si>
  <si>
    <t xml:space="preserve">Adventist Development and Relief Agency (AGRA) </t>
  </si>
  <si>
    <t>Technical Assessment on Energy Resources and Technological Needs – ACTIVE Project.</t>
  </si>
  <si>
    <t>Norwegian Church Aid</t>
  </si>
  <si>
    <t>Framework Agreement for Collaborative Research on the social and behaviorals aspects of WASH</t>
  </si>
  <si>
    <t xml:space="preserve">Zamzam University Research and Innovation Centre (RIC) </t>
  </si>
  <si>
    <t>Mott Foundation</t>
  </si>
  <si>
    <t>Catalyst for Change: Enhancing Local Capacity Through Targeted Technical Assistance</t>
  </si>
  <si>
    <t>Dutch Fund for Climate Development</t>
  </si>
  <si>
    <t>East Africa Bankable Project Scoping Study and Market Analysis</t>
  </si>
  <si>
    <t>Kenya, Tanzania &amp; Uganda</t>
  </si>
  <si>
    <t>Mapping of the WASH private sector landscape, capacity strengthening, and development of a private sector engagement strategy in Tanzania</t>
  </si>
  <si>
    <t>REDEFINE Africa</t>
  </si>
  <si>
    <t>Monitoring and Evaluation Partner, Clean Energy Solutions for Women (CES4W) Program</t>
  </si>
  <si>
    <t>Energy for Growth Hub</t>
  </si>
  <si>
    <t>PPA transparancy Initiative II- Auction Readiness Public Dialogue</t>
  </si>
  <si>
    <t>EnDev</t>
  </si>
  <si>
    <t>Liberia Clean Cooking Action Document</t>
  </si>
  <si>
    <t>Liberia</t>
  </si>
  <si>
    <t>Trainer for Trainer Program</t>
  </si>
  <si>
    <t>National Clean Cooking Study in Burkina Faso</t>
  </si>
  <si>
    <t>Tchira Conseils</t>
  </si>
  <si>
    <t>Developing World Markets</t>
  </si>
  <si>
    <t>Independent Market, Technical and Carbon Review of a Clean Cookstove Project (Electric/Induction Cookstoves)</t>
  </si>
  <si>
    <t>ENABEL-Belgium Development Agency</t>
  </si>
  <si>
    <t>Development of salt value chain in Senegal</t>
  </si>
  <si>
    <t>Practical Action</t>
  </si>
  <si>
    <t>Care</t>
  </si>
  <si>
    <t>Baseline evaluation for phase II of the sowing change project in Loitoktok sub county, Kajiado, Kenya</t>
  </si>
  <si>
    <t>FairTrade Kenya</t>
  </si>
  <si>
    <t>End term evaluation of the Kenya Roses Project</t>
  </si>
  <si>
    <t>Dr. Jane Ambuko Lubachi</t>
  </si>
  <si>
    <t>UNIDO</t>
  </si>
  <si>
    <t>Devepment of clean cooking roadmap and BCC strategy for Botswana</t>
  </si>
  <si>
    <t>Botswana</t>
  </si>
  <si>
    <t>Vision Africa</t>
  </si>
  <si>
    <t>GAIN</t>
  </si>
  <si>
    <t>Mapping Maize Millers in Malawi under the FOCUS Project (Fortifying Our Communities’ Undernutrition Status through Strengthened Civil Society Organization Capacity)</t>
  </si>
  <si>
    <t xml:space="preserve">Helena and Rumbidzai </t>
  </si>
  <si>
    <t>LUX DEV - Luxembourg Dev. Agency</t>
  </si>
  <si>
    <t>End-user studies - MAE023 project</t>
  </si>
  <si>
    <t>West Africa &amp; Rwanda</t>
  </si>
  <si>
    <t>Accenture</t>
  </si>
  <si>
    <t>Productive Use Equipment Financing Facility Customer Verification &amp; MEL Support</t>
  </si>
  <si>
    <t>Kenya, Ethiopia and Nigeria</t>
  </si>
  <si>
    <t>Analytica Research Hub</t>
  </si>
  <si>
    <t>Carbon Access Lab (CAL)</t>
  </si>
  <si>
    <t>Strategy Development for the Carbon Access Lab</t>
  </si>
  <si>
    <t xml:space="preserve">Sanitation Financing </t>
  </si>
  <si>
    <t>WaterAid</t>
  </si>
  <si>
    <t xml:space="preserve">PEA Climate and Health </t>
  </si>
  <si>
    <t>Duncan Angila</t>
  </si>
  <si>
    <t>MECS</t>
  </si>
  <si>
    <t>Services to collect a portfolio of data adding evidence to research on fuel stacking</t>
  </si>
  <si>
    <t>SEI</t>
  </si>
  <si>
    <t>Southern Partners Fund (SPF)</t>
  </si>
  <si>
    <t>Measuring Progress Toward SDG7.1.1—Phase 3</t>
  </si>
  <si>
    <t>Development of a Clean Cooking Database (Laos)</t>
  </si>
  <si>
    <t>Database Development</t>
  </si>
  <si>
    <t>Laos</t>
  </si>
  <si>
    <t>Phetmany Cheuasongkham</t>
  </si>
  <si>
    <t xml:space="preserve">Consulting Services for the Market Assessment of Productive Uses of Renewable Energy (PURE) </t>
  </si>
  <si>
    <t>CLASP, GOGLA</t>
  </si>
  <si>
    <t>Provision Of Services Supporting Unido’s Decarbonization Work For The Cement Sector In Kenya</t>
  </si>
  <si>
    <t>NA</t>
  </si>
  <si>
    <t>Trasmy and OzMozis</t>
  </si>
  <si>
    <t xml:space="preserve">Development of Zanzibar Clean Cooking Strategy, Investment prospectus and Communication Strategy </t>
  </si>
  <si>
    <t>SM, CM, MB</t>
  </si>
  <si>
    <t>Prof Kimambo, Sarah Majengo &amp; Salma Khairalla</t>
  </si>
  <si>
    <t xml:space="preserve">Independent Evaluation of the SIDA funded Sub Saharan Africa Energy Access Program </t>
  </si>
  <si>
    <t>SC,CN</t>
  </si>
  <si>
    <t>Rwanda Energy Group</t>
  </si>
  <si>
    <t>Developing and Implementing a Solar Park Auction in Rwanda</t>
  </si>
  <si>
    <t>Global Platform for Action (GPA)</t>
  </si>
  <si>
    <t>GPA Strategy Review and Plan</t>
  </si>
  <si>
    <t>PUE Market Insights and Application of Technical Assistance Pillar</t>
  </si>
  <si>
    <t>Africa Policy Research Institute (APRI)</t>
  </si>
  <si>
    <t>In Pursuit of Green Growth: Rethinking Current Approaches to Green Technology Transfer</t>
  </si>
  <si>
    <t>UNDP Financing Facility</t>
  </si>
  <si>
    <t>ESG framework for the OGS sector</t>
  </si>
  <si>
    <t>Global</t>
  </si>
  <si>
    <t>Water for People (Uganda)</t>
  </si>
  <si>
    <t>ESG-Aligned WASH Curriculum Development and Metrics Definition for Uganda's Financial Sector</t>
  </si>
  <si>
    <t>Henry Obwoya and Aloice Wambua</t>
  </si>
  <si>
    <t>Water Sources Audit in Turkana</t>
  </si>
  <si>
    <t xml:space="preserve">Harry </t>
  </si>
  <si>
    <t>RTI International</t>
  </si>
  <si>
    <t>Engineering X</t>
  </si>
  <si>
    <t>High-level Review of the End of Life of Photovoltaic (PV) Infrastructure in Low- and Middle-Income Countries</t>
  </si>
  <si>
    <t>Developng countries (Not county specific)</t>
  </si>
  <si>
    <t>Consumer Feedback Consultancy</t>
  </si>
  <si>
    <t>Sun King</t>
  </si>
  <si>
    <t>Deepening Customer Understanding through PAYGo LPG Personas</t>
  </si>
  <si>
    <t>EnDev-Uganda</t>
  </si>
  <si>
    <t>Regional Knowledge Exchange on ecooking and Tariff Roadmap-Uganda</t>
  </si>
  <si>
    <t>Sanitation Credit Market Assessment</t>
  </si>
  <si>
    <t>Climate Technology Centre and Network (CTCN)</t>
  </si>
  <si>
    <t>Feasibility Study: Floating Solar Panels in Senegal</t>
  </si>
  <si>
    <t>PLANAIR</t>
  </si>
  <si>
    <t>MTF Nigeria, Liberia and Lesotho Country Diagnostic Report Writing</t>
  </si>
  <si>
    <t>Nigeria, Liberia and Lesotho</t>
  </si>
  <si>
    <t>SE4ALL</t>
  </si>
  <si>
    <t>Provision of Carbon Finance Registration and Advisory Services</t>
  </si>
  <si>
    <t>Samuel Mayieko and Godfrey Sanga</t>
  </si>
  <si>
    <t>Project Preparation Support for JET Funding Platform</t>
  </si>
  <si>
    <t>Consultancy (Individual or Organization) to support Siemens Stiftung with facilitating a carbon project development clinic for E-Mobility enterprises in Kenya</t>
  </si>
  <si>
    <t>TEA Scaling Up Project</t>
  </si>
  <si>
    <t>Spark+ Africa Fund</t>
  </si>
  <si>
    <t>Impact Measurement for a Clean Cooking Lending Product for Yehu Microfinance</t>
  </si>
  <si>
    <t>Nishati Associates</t>
  </si>
  <si>
    <t>Ethiopia eCooking Market Readiness Assessment and Tariff Feasibility Study</t>
  </si>
  <si>
    <t>Hilawe Tasema (ERG)</t>
  </si>
  <si>
    <t xml:space="preserve">UNIDO - Energy Efficiency for sustainable Livelihood in Africa (EELA) – Kenya country window, (3 proposals) </t>
  </si>
  <si>
    <t>Equity Bank</t>
  </si>
  <si>
    <t>Capacity Building and Transaction Support On Decentralized Energy Sector In Kenya And DRC Markets</t>
  </si>
  <si>
    <t>Kenya, DRC</t>
  </si>
  <si>
    <t>CONSULTANCY SERVICES TO CONDUCT GROUND TRUTHING AND MARKET INTELLIGENCE SURVEYS FOR 150 COMMUNITIES FOR THE DEPLOYMENT AND EXPANSION OF MINI-GRIDS IN SIERRA LEONE</t>
  </si>
  <si>
    <t>CESPA (Sierra Leone)</t>
  </si>
  <si>
    <t xml:space="preserve">Promoting improved cook stoves sustainable market in Burundi </t>
  </si>
  <si>
    <t>Workshop Design</t>
  </si>
  <si>
    <t>Burundi</t>
  </si>
  <si>
    <t>Regional Knowledge Exchange on ecooking and Tariff Roadmaps</t>
  </si>
  <si>
    <t>Ethiopia and Kenya</t>
  </si>
  <si>
    <t>Simple End-User Survey of the Biomassters Project in Rwanda</t>
  </si>
  <si>
    <t>Simple End-User Survey of the Missing Middle Opportunity Facility (MMOF)</t>
  </si>
  <si>
    <t>Kenya and Uganda</t>
  </si>
  <si>
    <t>Technical Support for Clean Cooking Policy Implementation in Nigeria</t>
  </si>
  <si>
    <t>Simisola Sobowale and Kumashe Yaakugh</t>
  </si>
  <si>
    <t>User Data Collection for 2025 Global LEAP Awards Solar Generators Competition</t>
  </si>
  <si>
    <t>SchimaticBlue Energy</t>
  </si>
  <si>
    <t xml:space="preserve">SSA </t>
  </si>
  <si>
    <t>Switch to circular economy in East and Southern Africa (Switch-2-CE in ESA Lot 2</t>
  </si>
  <si>
    <t>SSA</t>
  </si>
  <si>
    <t>Provision of Consulting Firm to Strengthen RegulatoryFrameworks in African Electricity Sector</t>
  </si>
  <si>
    <t>Congo, The Democratic Republic of | Kenya | Namibia | Tunisia</t>
  </si>
  <si>
    <t>Consultancy Services for Provision of Integrated Legal, Regulatory and Electricity Sector Planning</t>
  </si>
  <si>
    <t>South Sudan</t>
  </si>
  <si>
    <t>Victoria Achai</t>
  </si>
  <si>
    <t>Appui à la finalisation et à l’opérationnalisation de la Stratégie Nationale de Cuisson Propre (2025)</t>
  </si>
  <si>
    <t>Carbon Centre of Expertise (CoE) - Prequalification call</t>
  </si>
  <si>
    <t>WRI</t>
  </si>
  <si>
    <t>Impact of Vehicle Electrification on RMLF and Alternative Financing Options</t>
  </si>
  <si>
    <t>Transport</t>
  </si>
  <si>
    <t xml:space="preserve">Anne Mugure Kiburi </t>
  </si>
  <si>
    <t>IUCN ESARO Kenya: Regulatory Impact Assessment on Forest Conservation and Management (Charcoal) Draft Regulations</t>
  </si>
  <si>
    <t>Evaluation Ongoing</t>
  </si>
  <si>
    <t>Lesotho off-grid, clean cooking and space heating market assessments</t>
  </si>
  <si>
    <t>ZERA (Zimbabwe Energy Regulatory Authority)</t>
  </si>
  <si>
    <t>Consultancy services for the National Energy Efficiency Audit</t>
  </si>
  <si>
    <t>External</t>
  </si>
  <si>
    <t>Strengthening Market-Based Sanitation Access in Refugee and Host Communities in Turkana</t>
  </si>
  <si>
    <t>OCA</t>
  </si>
  <si>
    <t>Technical . legal and institutuonal Review of the Isiolo County Water Act, Policy and Rural Water Service Delivery Framework</t>
  </si>
  <si>
    <t>Prof A. Mumma</t>
  </si>
  <si>
    <t>FinChurch Aid</t>
  </si>
  <si>
    <t xml:space="preserve">Development of Youth Training Manuals and Delivery of Trainings on Civic Engagement, Climate Action, Social Cohesion and Governance in Banadir. </t>
  </si>
  <si>
    <t>EGH</t>
  </si>
  <si>
    <t>PPA Transaparency III</t>
  </si>
  <si>
    <t>National electricity utility</t>
  </si>
  <si>
    <t>SENELEC</t>
  </si>
  <si>
    <t>Preparation of a National Electric Mobility Master Plan for the Deployment of Electric Vehicle Charging Infrastructure in Senegal.</t>
  </si>
  <si>
    <t>MF</t>
  </si>
  <si>
    <t>Pre-feasibility studies and investment model design for methane/organic waste valorization in Senegal</t>
  </si>
  <si>
    <t>Tariff study, costed Asset Management Plan, Strategic Plan and Business Plan for KALWASCO</t>
  </si>
  <si>
    <t>Alec and ECA</t>
  </si>
  <si>
    <t>Feasibility Study for the Introduction of Clean Cooking Technologies under the Ghana Lakeside Clean Cooking Project (GLCCP) in SREP Mini-Grid Islands and Lakeside Communities</t>
  </si>
  <si>
    <t>The Khana Group</t>
  </si>
  <si>
    <t>Study on the End-to-End Digital Value Chain of an eCooking Carbon Credit</t>
  </si>
  <si>
    <t>AB, GM</t>
  </si>
  <si>
    <t>SDC</t>
  </si>
  <si>
    <t>Livestock Sector Strengthening Program Phase II (LSS II) Evaluation</t>
  </si>
  <si>
    <t>Stella Lodompui</t>
  </si>
  <si>
    <t>Consultancy services for the provision of venture building and business growth support to mid-size SMEs in Benin and Burkina Faso</t>
  </si>
  <si>
    <t>Burkina Faso and Benin</t>
  </si>
  <si>
    <t>Innohub</t>
  </si>
  <si>
    <t>Develop a GIS-powered solution for impact tracking and management</t>
  </si>
  <si>
    <t>GIS-related</t>
  </si>
  <si>
    <t>Regional</t>
  </si>
  <si>
    <t>Allan Onyango</t>
  </si>
  <si>
    <t>PASGR</t>
  </si>
  <si>
    <t>End-line Evaluation of the Accountability for Water (AfW) Program Phase II</t>
  </si>
  <si>
    <t>Research, Scoping and Baseline Study Consultancy to Inform Country Approach</t>
  </si>
  <si>
    <t>Kenya, Nigeria, Senegal</t>
  </si>
  <si>
    <t>Mercy Corps</t>
  </si>
  <si>
    <t>MTR - Resilient Approaches in Natural Rangeland Ecosystems (RANGE) Programme</t>
  </si>
  <si>
    <t>Endline Survey of the E-Mobility Sector in Kenya</t>
  </si>
  <si>
    <t>KEPRO</t>
  </si>
  <si>
    <t xml:space="preserve">Development of a Comprehensive Report on the state of waste management in Kenya </t>
  </si>
  <si>
    <t>Dr. Catherine Majale</t>
  </si>
  <si>
    <t>Impact Hub</t>
  </si>
  <si>
    <t>Landscape Research and Analysis for the Advancing Agricultural Circularity Programme in Kenya</t>
  </si>
  <si>
    <t>Outcomes-Based Approach to Mobilize Clean Cooking Investments</t>
  </si>
  <si>
    <t>Adrian Ghilardi, Marc Jeuland</t>
  </si>
  <si>
    <t>The Millennium Water Alliance (MWA)</t>
  </si>
  <si>
    <t>Evaluation of the DRIP FUNDI Program</t>
  </si>
  <si>
    <t>Ministry of Energy</t>
  </si>
  <si>
    <t>Appui à la mise en oeuvre de la Stratégie nationale de Transition énergétique juste (JET) et de la Stratégie nationale d'achèvement de l'accès universel à l'électricité à l'horizon 2029</t>
  </si>
  <si>
    <t>RECRUITMENT OF A CONSULTANT (FIRM) FOR A STUDY ON THE COMPARISON AND HARMONISATION OF NATIONAL ELECTRICITY TARIFFS AND TARIFF PRINCIPLES AND THE DEVELOPMENT OF A FRAMEWORK AND TOOL FOR ASSESSING COST REFLECTIVITY.</t>
  </si>
  <si>
    <t>Central Africa Member States</t>
  </si>
  <si>
    <t>Preparation of Climate-Resilient and Energy-Efficient Cooling Investments in Malawi</t>
  </si>
  <si>
    <t>CEM</t>
  </si>
  <si>
    <t>ANER (Agence National Energies Renouvelables)</t>
  </si>
  <si>
    <t>Evaluation of Phases 1 and 2 of the Solar Public Lighting Program in Senegal.</t>
  </si>
  <si>
    <t>Évaluation d'impacts des projets ORIO et dessalement de l'eau saumâtre de Gandiaye</t>
  </si>
  <si>
    <t>Federal Government of Somalia</t>
  </si>
  <si>
    <t xml:space="preserve"> Design of a Results-Based Financing (RBF) Framework under the HARECT Project</t>
  </si>
  <si>
    <t>Cygnum Capital</t>
  </si>
  <si>
    <t>Ascent Project Preparation Facility</t>
  </si>
  <si>
    <t>Multi-lateral Development Bank / Private Sector</t>
  </si>
  <si>
    <t>World Bank Group / IFC and GCB Cocoa</t>
  </si>
  <si>
    <t>Consultancy Services for a Biochar Feasibility Assessment</t>
  </si>
  <si>
    <t>Feasibility Study</t>
  </si>
  <si>
    <t>Core(New)</t>
  </si>
  <si>
    <t>Côte d’Ivoire</t>
  </si>
  <si>
    <t>Senam / WBGeProcure RFx Now</t>
  </si>
  <si>
    <t>TBD</t>
  </si>
  <si>
    <t>JW</t>
  </si>
  <si>
    <t>Hivos / EU SWITCH Kenya Green Tujenge Pamoja</t>
  </si>
  <si>
    <t>Baseline Study of Circular Economy Adoption, Enablers, and Risks in MSMEs across Plastic, Textile, and Organic Waste Value Chains</t>
  </si>
  <si>
    <t>Christine Lucy Majale</t>
  </si>
  <si>
    <t>Consultancy Services for the ASCENT Project Preparation Facility</t>
  </si>
  <si>
    <t>Africa E-mobility Market Assessment</t>
  </si>
  <si>
    <t>Kenya, Rwanda, Uganda, Tanzania, Ethiopia, South Africa, Senegal, Nigeria, Côte d'Ivoire, Ghana, Morocco, Cameroon and Egypt</t>
  </si>
  <si>
    <t>LixCap Group</t>
  </si>
  <si>
    <t>Malawi - Development and Implementation of Carbon Mitigation and Carbon Financing Activities in the Energy Sector, with a Pilot for Clean Cooking Solutions</t>
  </si>
  <si>
    <t>AGS</t>
  </si>
  <si>
    <t>Kenya - Development of Business Plans for Water Service Providers Under the Kenya Towns Sustainable Water Supply and Sanitation Program -Athi Cluster - KTSWSSP</t>
  </si>
  <si>
    <t>TA for the implementation of e Line of Credit dedicated to EE and RE - DIAMOND TRUST BANK KENYA (DTB-K).</t>
  </si>
  <si>
    <t>Data Collection for a Household Business Survey Experiment in Kenya</t>
  </si>
  <si>
    <t>Ethiopia Endline Refugee Livelihoods Assessment</t>
  </si>
  <si>
    <t>Ashden</t>
  </si>
  <si>
    <t>Develop a toolkit for funders and practitioners on inclusive financing and delivery models for energy access in displacement settings. </t>
  </si>
  <si>
    <t>Kenya, Ethiopia, Uganda</t>
  </si>
  <si>
    <t>Appui à la finalisation et à l’opérationnalisation de la Stratégie Nationale de Cuisson Propre (2025–2035)</t>
  </si>
  <si>
    <t>World Bank Portal</t>
  </si>
  <si>
    <t>WWF-Kenya</t>
  </si>
  <si>
    <t>Joint Consultancy to Define the Architecture, Governance, and Capitalization of the Africa Water Resilience Fund (AWRF)</t>
  </si>
  <si>
    <t>Terassos</t>
  </si>
  <si>
    <t>Stichting Clean Energy and Energy Inclusion for Africa</t>
  </si>
  <si>
    <t>Regulatory Mapping Phase II</t>
  </si>
  <si>
    <t>Development of The Gambia's National Clean Cooking Strategy</t>
  </si>
  <si>
    <t>The Gambia</t>
  </si>
  <si>
    <t xml:space="preserve">Carbon Market Awarness for SMEs in Uganda </t>
  </si>
  <si>
    <t>Carbon Markets</t>
  </si>
  <si>
    <t>Innovation Village Hub</t>
  </si>
  <si>
    <t>Diocese of Lodwar</t>
  </si>
  <si>
    <t>Strategic and Business Plan for TURWASCO</t>
  </si>
  <si>
    <t>Hivos</t>
  </si>
  <si>
    <t>A Baseline study of circular economy adoption</t>
  </si>
  <si>
    <t>Aruwa Capital</t>
  </si>
  <si>
    <t>Commercial Due Diligence on Project Pine</t>
  </si>
  <si>
    <t>EBRD Blue Ribbon Investment Readiness &amp; Transaction Advisory</t>
  </si>
  <si>
    <t>Ministry of Water and Energy, Ethiopia</t>
  </si>
  <si>
    <t>Accelerating Sustainable and Clean Energy Access Transformation (ASCENT) Program</t>
  </si>
  <si>
    <t>PR Twenty One Consulting PLC (PR-21)</t>
  </si>
  <si>
    <t>Outcome-Based Approaches to Mobilize Clean Cooking Investments</t>
  </si>
  <si>
    <t xml:space="preserve">Africa </t>
  </si>
  <si>
    <t>Adrian Ghilardi (UNAM), Marc Jeuland (Duke)</t>
  </si>
  <si>
    <t>Rwanda Cookstove Carbon Project Monitoring</t>
  </si>
  <si>
    <t>British International Investment</t>
  </si>
  <si>
    <t>Building the Market for Blue Finance</t>
  </si>
  <si>
    <t>Sanjoy Sanjal</t>
  </si>
  <si>
    <t>Water.org</t>
  </si>
  <si>
    <t>Assessing the Relevance of Climate Resilience in Water Supply and Sanitation (WSS) Business Loan Portfolios Across Water.org’s Financial Institution Partners</t>
  </si>
  <si>
    <t>Africa, Asia, Pacific</t>
  </si>
  <si>
    <t>Sanjoy Sanjal, Joshua Kibet</t>
  </si>
  <si>
    <t>NORAD (Norwegian Agency for Development Corporation</t>
  </si>
  <si>
    <t>Mid-term Review of the Improving Smallholder Resilience through Customised Climate Services - ARCS Project</t>
  </si>
  <si>
    <t>Ethiopia, Malawi</t>
  </si>
  <si>
    <t>C40 Cities</t>
  </si>
  <si>
    <t>Developing a Heat Health Action Plan for Nairobi City County</t>
  </si>
  <si>
    <t>Nairobi, Kenya</t>
  </si>
  <si>
    <t>SGHI, Jesse Borden</t>
  </si>
  <si>
    <t>Feasibility Study for Scaling Up Fresh Produce Cold Storage Facilities in the Nairobi City County</t>
  </si>
  <si>
    <t>Dr. Castro Gichuki and Eng. Dan Ndenga</t>
  </si>
  <si>
    <t>Clean Cooking and Sustainable School Meals Assessment in Kenya</t>
  </si>
  <si>
    <t>Duncan Ang'ila</t>
  </si>
  <si>
    <t>Development of Busia County Energy Plan</t>
  </si>
  <si>
    <t>From Partner</t>
  </si>
  <si>
    <t> </t>
  </si>
  <si>
    <t>Evaluation of Phases 1 and 2 of the Solar Public Lighting Program in Senegal</t>
  </si>
  <si>
    <t>Design of the NORCAP Technical Assistance Facility</t>
  </si>
  <si>
    <t>Kenya, Ethiopia, Uganda, Rwanda</t>
  </si>
  <si>
    <t>Evaluation of the Solar Electrification of Public and Community Infrastructure Project</t>
  </si>
  <si>
    <t>African Union</t>
  </si>
  <si>
    <t>Pan Africa Regional Carbon Markets Study</t>
  </si>
  <si>
    <t>Africa/ AU Member States</t>
  </si>
  <si>
    <t>SWITCH-2-CE: Capacity-Building Intervention for Entrepreneurial Support Organisations (ESOs)</t>
  </si>
  <si>
    <t>East and Southern Africa</t>
  </si>
  <si>
    <t>Stratégie Nationale de Cuisson Propre en République du Congo et un Catalogue de Mesures et Mécanismes de Financement pour le Développement des Marchés de la Cuisson Propre et du Solaire Hors Réseau</t>
  </si>
  <si>
    <t>République du Congo</t>
  </si>
  <si>
    <t>Shortlist</t>
  </si>
  <si>
    <t>Barriers to Women and Youth Inclusion in SSA</t>
  </si>
  <si>
    <t>Design and Implementation of a Capacity Building Program on Productive Use of Energy (PUE) for Solar Minigrids</t>
  </si>
  <si>
    <t>Mid-term Evaluation of Gambia Country development Program</t>
  </si>
  <si>
    <t>Water Mission</t>
  </si>
  <si>
    <t>STEADY Carbon Portfolio Transition, Due Diligence and Onboarding</t>
  </si>
  <si>
    <t>Tanzania , Malawi</t>
  </si>
  <si>
    <t>Operationalization of Senegal’s Clean Cooking Strategy through a National Working Group on CleanCooking</t>
  </si>
  <si>
    <t>Support for the implementation of the Shirika Plan to Strengthen the Socio-economic Integration of Refuees and Host Communities in Kenya</t>
  </si>
  <si>
    <t>End-Term Evaluation of the NO</t>
  </si>
  <si>
    <t>Kanya</t>
  </si>
  <si>
    <t>Data Collection for a Household Businesses Survey Experiment in Kenya</t>
  </si>
  <si>
    <t>Simple End-User Study of Uruhimbi Kageyo Cooperative (UKC) in Rwanda</t>
  </si>
  <si>
    <t>Africa Water Facility</t>
  </si>
  <si>
    <t>Institutional Performance and Investment Readiness Programme for Selected Water Service Providers in Kenya</t>
  </si>
  <si>
    <t>Gauff Consultants Africa Ltd</t>
  </si>
  <si>
    <t>Economic Assessment for Key Crops towards Creating an Regenerative Urban-Rural Alliance in Dakar</t>
  </si>
  <si>
    <t>Vida</t>
  </si>
  <si>
    <t>Angus Dutton</t>
  </si>
  <si>
    <t>angus@vida.place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</si>
</sst>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quot;£&quot;* #,##0.00_-;_-&quot;£&quot;* &quot;-&quot;??_-;_-@_-"/>
    <numFmt numFmtId="164" formatCode="&quot;$&quot;#,##0.00"/>
    <numFmt numFmtId="165" formatCode="[$-409]d\-mmm;@"/>
    <numFmt numFmtId="166" formatCode="&quot;$&quot;#,##0.00_);[Red]\(&quot;$&quot;#,##0.00\)"/>
    <numFmt numFmtId="167" formatCode="_([$€-2]\ * #,##0.00_);_([$€-2]\ * \(#,##0.00\);_([$€-2]\ * &quot;-&quot;??_);_(@_)"/>
  </numFmts>
  <fonts count="4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8"/>
      <color theme="1"/>
      <name val="Aptos Narrow"/>
      <family val="2"/>
      <scheme val="minor"/>
    </font>
    <font>
      <sz val="8"/>
      <color theme="1"/>
      <name val="Aptos Narrow"/>
      <family val="2"/>
      <scheme val="minor"/>
    </font>
    <font>
      <b/>
      <sz val="8"/>
      <color theme="0"/>
      <name val="Aptos Narrow"/>
      <family val="2"/>
      <scheme val="minor"/>
    </font>
    <font>
      <u/>
      <sz val="8"/>
      <color theme="10"/>
      <name val="Aptos Narrow"/>
      <family val="2"/>
      <scheme val="minor"/>
    </font>
    <font>
      <sz val="8"/>
      <color rgb="FF2F5496"/>
      <name val="Segoe UI"/>
      <family val="2"/>
    </font>
    <font>
      <sz val="8"/>
      <color rgb="FF000000"/>
      <name val="Aptos"/>
      <family val="2"/>
    </font>
    <font>
      <sz val="8"/>
      <color rgb="FF242424"/>
      <name val="Verdana"/>
      <family val="2"/>
    </font>
    <font>
      <sz val="8"/>
      <color theme="1"/>
      <name val="Cambria"/>
      <family val="1"/>
      <charset val="1"/>
    </font>
    <font>
      <sz val="8"/>
      <color rgb="FF444444"/>
      <name val="Calibri"/>
      <family val="2"/>
      <charset val="1"/>
    </font>
    <font>
      <b/>
      <sz val="8"/>
      <color theme="0"/>
      <name val="Calibri"/>
      <family val="2"/>
    </font>
    <font>
      <b/>
      <sz val="8"/>
      <color rgb="FFFFFFFF"/>
      <name val="Calibri"/>
      <family val="2"/>
    </font>
    <font>
      <sz val="8"/>
      <color theme="1"/>
      <name val="Calibri"/>
      <family val="2"/>
    </font>
    <font>
      <sz val="8"/>
      <color rgb="FF000000"/>
      <name val="Aptos Narrow"/>
      <family val="2"/>
      <scheme val="minor"/>
    </font>
    <font>
      <sz val="8"/>
      <color rgb="FF03113D"/>
      <name val="Aptos Narrow"/>
      <family val="2"/>
      <scheme val="minor"/>
    </font>
    <font>
      <sz val="8"/>
      <color rgb="FF17365D"/>
      <name val="Arial"/>
      <family val="2"/>
    </font>
    <font>
      <b/>
      <sz val="9"/>
      <color indexed="81"/>
      <name val="Tahoma"/>
      <family val="2"/>
    </font>
    <font>
      <sz val="9"/>
      <color indexed="81"/>
      <name val="Tahoma"/>
      <family val="2"/>
    </font>
    <font>
      <sz val="8"/>
      <name val="Calibri"/>
      <family val="2"/>
    </font>
    <font>
      <sz val="8"/>
      <color rgb="FF242424"/>
      <name val="Aptos Narrow"/>
      <family val="2"/>
    </font>
    <font>
      <sz val="8"/>
      <color rgb="FF000000"/>
      <name val="Calibri"/>
      <family val="2"/>
    </font>
    <font>
      <sz val="8"/>
      <color rgb="FF1F1F1F"/>
      <name val="Aptos Narrow"/>
      <family val="2"/>
      <scheme val="minor"/>
    </font>
    <font>
      <sz val="8"/>
      <color rgb="FF000000"/>
      <name val="Trebuchet MS"/>
      <family val="2"/>
    </font>
    <font>
      <sz val="8"/>
      <color rgb="FF242424"/>
      <name val="Aptos Narrow"/>
      <family val="2"/>
      <scheme val="minor"/>
    </font>
    <font>
      <sz val="8"/>
      <name val="Aptos Narrow"/>
      <family val="2"/>
      <scheme val="minor"/>
    </font>
    <font>
      <sz val="8"/>
      <color rgb="FFFF0000"/>
      <name val="Aptos Narrow"/>
      <family val="2"/>
      <scheme val="minor"/>
    </font>
    <font>
      <sz val="9"/>
      <color indexed="81"/>
      <name val="Tahoma"/>
      <charset val="1"/>
    </font>
    <font>
      <sz val="8"/>
      <color rgb="FF242424"/>
      <name val="Times New Roman"/>
      <family val="1"/>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06C49"/>
        <bgColor indexed="64"/>
      </patternFill>
    </fill>
    <fill>
      <patternFill patternType="solid">
        <fgColor rgb="FFFF0000"/>
        <bgColor indexed="64"/>
      </patternFill>
    </fill>
    <fill>
      <patternFill patternType="solid">
        <fgColor theme="7"/>
        <bgColor indexed="64"/>
      </patternFill>
    </fill>
    <fill>
      <patternFill patternType="solid">
        <fgColor rgb="FFFFC000"/>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FFFF"/>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bottom/>
      <diagonal/>
    </border>
    <border>
      <left style="thin">
        <color theme="9"/>
      </left>
      <right style="thin">
        <color theme="9"/>
      </right>
      <top style="thin">
        <color theme="9"/>
      </top>
      <bottom style="thin">
        <color theme="9"/>
      </bottom>
      <diagonal/>
    </border>
    <border>
      <left/>
      <right style="thin">
        <color indexed="64"/>
      </right>
      <top/>
      <bottom/>
      <diagonal/>
    </border>
    <border>
      <left style="thin">
        <color theme="9"/>
      </left>
      <right style="thin">
        <color theme="9"/>
      </right>
      <top style="thin">
        <color theme="9"/>
      </top>
      <bottom/>
      <diagonal/>
    </border>
    <border>
      <left style="thin">
        <color theme="9"/>
      </left>
      <right style="thin">
        <color theme="9"/>
      </right>
      <top/>
      <bottom style="thin">
        <color theme="9"/>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style="thin">
        <color rgb="FF4472C4"/>
      </top>
      <bottom/>
      <diagonal/>
    </border>
    <border>
      <left style="thin">
        <color rgb="FF4472C4"/>
      </left>
      <right/>
      <top style="thin">
        <color rgb="FF4472C4"/>
      </top>
      <bottom style="thin">
        <color rgb="FF4472C4"/>
      </bottom>
      <diagonal/>
    </border>
    <border>
      <left/>
      <right style="thin">
        <color rgb="FF4472C4"/>
      </right>
      <top style="thin">
        <color rgb="FF4472C4"/>
      </top>
      <bottom style="thin">
        <color rgb="FF4472C4"/>
      </bottom>
      <diagonal/>
    </border>
    <border>
      <left style="thin">
        <color theme="9"/>
      </left>
      <right/>
      <top style="thin">
        <color theme="9"/>
      </top>
      <bottom style="thin">
        <color theme="9"/>
      </bottom>
      <diagonal/>
    </border>
    <border>
      <left style="thin">
        <color rgb="FF000000"/>
      </left>
      <right style="thin">
        <color rgb="FF000000"/>
      </right>
      <top/>
      <bottom style="thin">
        <color rgb="FF000000"/>
      </bottom>
      <diagonal/>
    </border>
    <border>
      <left/>
      <right style="thin">
        <color theme="9"/>
      </right>
      <top style="thin">
        <color theme="9"/>
      </top>
      <bottom style="thin">
        <color theme="9"/>
      </bottom>
      <diagonal/>
    </border>
    <border>
      <left/>
      <right style="thin">
        <color theme="9"/>
      </right>
      <top/>
      <bottom style="thin">
        <color theme="9"/>
      </bottom>
      <diagonal/>
    </border>
    <border>
      <left style="thin">
        <color theme="9"/>
      </left>
      <right/>
      <top/>
      <bottom style="thin">
        <color theme="9"/>
      </bottom>
      <diagonal/>
    </border>
    <border>
      <left/>
      <right style="thin">
        <color theme="9"/>
      </right>
      <top style="thin">
        <color theme="9"/>
      </top>
      <bottom/>
      <diagonal/>
    </border>
    <border>
      <left style="thin">
        <color theme="9"/>
      </left>
      <right/>
      <top style="thin">
        <color theme="9"/>
      </top>
      <bottom/>
      <diagonal/>
    </border>
    <border>
      <left style="thin">
        <color rgb="FF92D050"/>
      </left>
      <right style="thin">
        <color rgb="FF92D050"/>
      </right>
      <top style="thin">
        <color rgb="FF92D050"/>
      </top>
      <bottom style="thin">
        <color rgb="FF92D050"/>
      </bottom>
      <diagonal/>
    </border>
    <border>
      <left style="medium">
        <color rgb="FFD1D3EB"/>
      </left>
      <right style="medium">
        <color rgb="FFD1D3EB"/>
      </right>
      <top/>
      <bottom style="medium">
        <color rgb="FFD1D3EB"/>
      </bottom>
      <diagonal/>
    </border>
    <border>
      <left/>
      <right style="thin">
        <color rgb="FF4472C4"/>
      </right>
      <top style="thin">
        <color rgb="FF4472C4"/>
      </top>
      <bottom/>
      <diagonal/>
    </border>
    <border>
      <left style="thin">
        <color rgb="FF4472C4"/>
      </left>
      <right/>
      <top style="thin">
        <color rgb="FF4472C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44" fontId="1" fillId="0" borderId="0" applyFont="0" applyFill="0" applyBorder="0" applyAlignment="0" applyProtection="0"/>
  </cellStyleXfs>
  <cellXfs count="149">
    <xf numFmtId="0" fontId="0" fillId="0" borderId="0" xfId="0"/>
    <xf numFmtId="0" fontId="20" fillId="0" borderId="0" xfId="0" applyFont="1" applyAlignment="1">
      <alignment horizontal="left" vertical="top"/>
    </xf>
    <xf numFmtId="0" fontId="20" fillId="0" borderId="0" xfId="0" applyFont="1" applyAlignment="1">
      <alignment horizontal="left" vertical="top" wrapText="1"/>
    </xf>
    <xf numFmtId="0" fontId="21" fillId="33" borderId="10" xfId="0" applyFont="1" applyFill="1" applyBorder="1" applyAlignment="1">
      <alignment vertical="top" wrapText="1"/>
    </xf>
    <xf numFmtId="0" fontId="20" fillId="33" borderId="0" xfId="0" applyFont="1" applyFill="1" applyAlignment="1">
      <alignment vertical="top" wrapText="1"/>
    </xf>
    <xf numFmtId="0" fontId="20" fillId="0" borderId="10" xfId="0" applyFont="1" applyBorder="1" applyAlignment="1">
      <alignment vertical="top" wrapText="1"/>
    </xf>
    <xf numFmtId="0" fontId="22" fillId="0" borderId="10" xfId="42" applyFont="1" applyBorder="1" applyAlignment="1">
      <alignment vertical="top" wrapText="1"/>
    </xf>
    <xf numFmtId="0" fontId="20" fillId="0" borderId="10" xfId="0" quotePrefix="1" applyFont="1" applyBorder="1" applyAlignment="1">
      <alignment vertical="top" wrapText="1"/>
    </xf>
    <xf numFmtId="0" fontId="20" fillId="0" borderId="0" xfId="0" applyFont="1" applyAlignment="1">
      <alignment vertical="top" wrapText="1"/>
    </xf>
    <xf numFmtId="2" fontId="20" fillId="0" borderId="10" xfId="0" applyNumberFormat="1" applyFont="1" applyBorder="1" applyAlignment="1">
      <alignment vertical="top" wrapText="1"/>
    </xf>
    <xf numFmtId="0" fontId="22" fillId="0" borderId="10" xfId="42" applyFont="1" applyBorder="1" applyAlignment="1">
      <alignment vertical="top"/>
    </xf>
    <xf numFmtId="0" fontId="20" fillId="34" borderId="10" xfId="0" applyFont="1" applyFill="1" applyBorder="1" applyAlignment="1">
      <alignment vertical="top"/>
    </xf>
    <xf numFmtId="0" fontId="20" fillId="35" borderId="10" xfId="0" applyFont="1" applyFill="1" applyBorder="1" applyAlignment="1">
      <alignment vertical="top" wrapText="1"/>
    </xf>
    <xf numFmtId="0" fontId="20" fillId="0" borderId="10" xfId="0" applyFont="1" applyBorder="1" applyAlignment="1">
      <alignment vertical="top"/>
    </xf>
    <xf numFmtId="0" fontId="20" fillId="0" borderId="10" xfId="0" applyFont="1" applyBorder="1" applyAlignment="1">
      <alignment horizontal="left" vertical="top"/>
    </xf>
    <xf numFmtId="0" fontId="21" fillId="33" borderId="10" xfId="0" applyFont="1" applyFill="1" applyBorder="1" applyAlignment="1">
      <alignment horizontal="left" vertical="top" wrapText="1"/>
    </xf>
    <xf numFmtId="0" fontId="20" fillId="0" borderId="10" xfId="0" applyFont="1" applyBorder="1" applyAlignment="1">
      <alignment horizontal="left" vertical="top" wrapText="1"/>
    </xf>
    <xf numFmtId="0" fontId="26" fillId="0" borderId="10" xfId="0" applyFont="1" applyBorder="1" applyAlignment="1">
      <alignment horizontal="left" vertical="top"/>
    </xf>
    <xf numFmtId="49" fontId="20" fillId="0" borderId="10" xfId="0" quotePrefix="1" applyNumberFormat="1" applyFont="1" applyBorder="1" applyAlignment="1">
      <alignment horizontal="left" vertical="top"/>
    </xf>
    <xf numFmtId="0" fontId="20" fillId="0" borderId="10" xfId="0" quotePrefix="1" applyFont="1" applyBorder="1" applyAlignment="1">
      <alignment horizontal="left" vertical="top" wrapText="1"/>
    </xf>
    <xf numFmtId="49" fontId="20" fillId="0" borderId="10" xfId="0" applyNumberFormat="1" applyFont="1" applyBorder="1" applyAlignment="1">
      <alignment horizontal="left" vertical="top"/>
    </xf>
    <xf numFmtId="0" fontId="22" fillId="0" borderId="10" xfId="42" applyFont="1" applyBorder="1" applyAlignment="1">
      <alignment horizontal="left" vertical="top" wrapText="1"/>
    </xf>
    <xf numFmtId="0" fontId="27" fillId="0" borderId="10" xfId="0" applyFont="1" applyBorder="1" applyAlignment="1">
      <alignment horizontal="left" vertical="top"/>
    </xf>
    <xf numFmtId="0" fontId="22" fillId="0" borderId="10" xfId="42" applyFont="1" applyBorder="1" applyAlignment="1">
      <alignment horizontal="left" vertical="top"/>
    </xf>
    <xf numFmtId="0" fontId="20" fillId="0" borderId="10" xfId="0" quotePrefix="1" applyFont="1" applyBorder="1" applyAlignment="1">
      <alignment horizontal="left" vertical="top"/>
    </xf>
    <xf numFmtId="0" fontId="19" fillId="0" borderId="0" xfId="0" applyFont="1"/>
    <xf numFmtId="0" fontId="20" fillId="0" borderId="0" xfId="0" applyFont="1"/>
    <xf numFmtId="0" fontId="20" fillId="34" borderId="10" xfId="0" applyFont="1" applyFill="1" applyBorder="1" applyAlignment="1">
      <alignment vertical="top" wrapText="1"/>
    </xf>
    <xf numFmtId="0" fontId="20" fillId="36" borderId="10" xfId="0" applyFont="1" applyFill="1" applyBorder="1" applyAlignment="1">
      <alignment vertical="top" wrapText="1"/>
    </xf>
    <xf numFmtId="0" fontId="20" fillId="37" borderId="10" xfId="0" applyFont="1" applyFill="1" applyBorder="1" applyAlignment="1">
      <alignment vertical="top" wrapText="1"/>
    </xf>
    <xf numFmtId="0" fontId="20" fillId="38" borderId="10" xfId="0" applyFont="1" applyFill="1" applyBorder="1" applyAlignment="1">
      <alignment vertical="top" wrapText="1"/>
    </xf>
    <xf numFmtId="0" fontId="18" fillId="0" borderId="10" xfId="42" applyFill="1" applyBorder="1" applyAlignment="1">
      <alignment vertical="top" wrapText="1"/>
    </xf>
    <xf numFmtId="0" fontId="20" fillId="0" borderId="0" xfId="0" quotePrefix="1" applyFont="1" applyAlignment="1">
      <alignment horizontal="left" vertical="top" wrapText="1"/>
    </xf>
    <xf numFmtId="0" fontId="25" fillId="0" borderId="10" xfId="0" applyFont="1" applyBorder="1" applyAlignment="1">
      <alignment vertical="top" wrapText="1"/>
    </xf>
    <xf numFmtId="0" fontId="24" fillId="0" borderId="10" xfId="0" applyFont="1" applyBorder="1" applyAlignment="1">
      <alignment vertical="top"/>
    </xf>
    <xf numFmtId="0" fontId="23" fillId="0" borderId="10" xfId="0" applyFont="1" applyBorder="1" applyAlignment="1">
      <alignment vertical="top"/>
    </xf>
    <xf numFmtId="0" fontId="20" fillId="0" borderId="15" xfId="0" applyFont="1" applyBorder="1" applyAlignment="1">
      <alignment horizontal="left" vertical="top"/>
    </xf>
    <xf numFmtId="165" fontId="20" fillId="0" borderId="15" xfId="0" applyNumberFormat="1" applyFont="1" applyBorder="1" applyAlignment="1">
      <alignment horizontal="left" vertical="top"/>
    </xf>
    <xf numFmtId="0" fontId="20" fillId="0" borderId="15" xfId="0" applyFont="1" applyBorder="1" applyAlignment="1">
      <alignment horizontal="left" vertical="top" wrapText="1"/>
    </xf>
    <xf numFmtId="165" fontId="20" fillId="0" borderId="15" xfId="0" applyNumberFormat="1" applyFont="1" applyBorder="1" applyAlignment="1">
      <alignment horizontal="left" vertical="top" wrapText="1"/>
    </xf>
    <xf numFmtId="0" fontId="31" fillId="0" borderId="15" xfId="0" applyFont="1" applyBorder="1" applyAlignment="1">
      <alignment horizontal="left" vertical="top" wrapText="1"/>
    </xf>
    <xf numFmtId="0" fontId="31" fillId="0" borderId="15" xfId="0" applyFont="1" applyBorder="1" applyAlignment="1">
      <alignment horizontal="left" vertical="top"/>
    </xf>
    <xf numFmtId="165" fontId="20" fillId="0" borderId="0" xfId="0" applyNumberFormat="1" applyFont="1" applyAlignment="1">
      <alignment horizontal="left" vertical="top"/>
    </xf>
    <xf numFmtId="0" fontId="28" fillId="33" borderId="11" xfId="0" applyFont="1" applyFill="1" applyBorder="1" applyAlignment="1">
      <alignment horizontal="left" vertical="top" wrapText="1"/>
    </xf>
    <xf numFmtId="0" fontId="28" fillId="33" borderId="0" xfId="0" applyFont="1" applyFill="1" applyAlignment="1">
      <alignment horizontal="left" vertical="top" wrapText="1"/>
    </xf>
    <xf numFmtId="0" fontId="29" fillId="33" borderId="16" xfId="0" applyFont="1" applyFill="1" applyBorder="1" applyAlignment="1">
      <alignment horizontal="left" vertical="top" wrapText="1"/>
    </xf>
    <xf numFmtId="0" fontId="29" fillId="33" borderId="12" xfId="0" applyFont="1" applyFill="1" applyBorder="1" applyAlignment="1">
      <alignment horizontal="left" vertical="top" wrapText="1"/>
    </xf>
    <xf numFmtId="0" fontId="29" fillId="33" borderId="13" xfId="0" applyFont="1" applyFill="1" applyBorder="1" applyAlignment="1">
      <alignment horizontal="left" vertical="top" wrapText="1"/>
    </xf>
    <xf numFmtId="164" fontId="29" fillId="33" borderId="13" xfId="0" applyNumberFormat="1" applyFont="1" applyFill="1" applyBorder="1" applyAlignment="1">
      <alignment horizontal="left" vertical="top" wrapText="1"/>
    </xf>
    <xf numFmtId="0" fontId="29" fillId="33" borderId="14" xfId="0" applyFont="1" applyFill="1" applyBorder="1" applyAlignment="1">
      <alignment horizontal="left" vertical="top" wrapText="1"/>
    </xf>
    <xf numFmtId="0" fontId="30" fillId="39" borderId="0" xfId="0" applyFont="1" applyFill="1" applyAlignment="1">
      <alignment horizontal="left" vertical="top"/>
    </xf>
    <xf numFmtId="0" fontId="20" fillId="0" borderId="17" xfId="0" applyFont="1" applyBorder="1" applyAlignment="1">
      <alignment horizontal="left" vertical="top"/>
    </xf>
    <xf numFmtId="164" fontId="20" fillId="0" borderId="15" xfId="0" applyNumberFormat="1" applyFont="1" applyBorder="1" applyAlignment="1">
      <alignment horizontal="left" vertical="top"/>
    </xf>
    <xf numFmtId="0" fontId="20" fillId="0" borderId="0" xfId="0" applyFont="1" applyAlignment="1">
      <alignment horizontal="left"/>
    </xf>
    <xf numFmtId="0" fontId="24" fillId="0" borderId="0" xfId="0" applyFont="1" applyAlignment="1">
      <alignment horizontal="left"/>
    </xf>
    <xf numFmtId="164" fontId="20" fillId="0" borderId="15" xfId="0" applyNumberFormat="1" applyFont="1" applyBorder="1" applyAlignment="1">
      <alignment horizontal="left" vertical="top" wrapText="1"/>
    </xf>
    <xf numFmtId="0" fontId="31" fillId="0" borderId="0" xfId="0" applyFont="1" applyAlignment="1">
      <alignment horizontal="left" wrapText="1"/>
    </xf>
    <xf numFmtId="0" fontId="20" fillId="0" borderId="0" xfId="0" applyFont="1" applyAlignment="1">
      <alignment horizontal="left" wrapText="1"/>
    </xf>
    <xf numFmtId="0" fontId="19" fillId="0" borderId="0" xfId="0" applyFont="1" applyAlignment="1">
      <alignment horizontal="left"/>
    </xf>
    <xf numFmtId="0" fontId="28" fillId="33" borderId="12" xfId="0" applyFont="1" applyFill="1" applyBorder="1" applyAlignment="1">
      <alignment horizontal="left" vertical="top" wrapText="1"/>
    </xf>
    <xf numFmtId="0" fontId="30" fillId="39" borderId="0" xfId="0" applyFont="1" applyFill="1" applyAlignment="1">
      <alignment horizontal="left"/>
    </xf>
    <xf numFmtId="0" fontId="20" fillId="0" borderId="19" xfId="0" applyFont="1" applyBorder="1" applyAlignment="1">
      <alignment horizontal="left"/>
    </xf>
    <xf numFmtId="0" fontId="32" fillId="0" borderId="0" xfId="0" applyFont="1" applyAlignment="1">
      <alignment horizontal="left" wrapText="1"/>
    </xf>
    <xf numFmtId="0" fontId="20" fillId="0" borderId="21" xfId="0" applyFont="1" applyBorder="1" applyAlignment="1">
      <alignment horizontal="left" wrapText="1"/>
    </xf>
    <xf numFmtId="0" fontId="20" fillId="0" borderId="21" xfId="0" applyFont="1" applyBorder="1" applyAlignment="1">
      <alignment horizontal="left"/>
    </xf>
    <xf numFmtId="0" fontId="20" fillId="0" borderId="19" xfId="0" applyFont="1" applyBorder="1" applyAlignment="1">
      <alignment horizontal="left" wrapText="1"/>
    </xf>
    <xf numFmtId="0" fontId="33" fillId="0" borderId="0" xfId="0" applyFont="1" applyAlignment="1">
      <alignment horizontal="left" vertical="center" wrapText="1"/>
    </xf>
    <xf numFmtId="165" fontId="20" fillId="0" borderId="0" xfId="0" applyNumberFormat="1" applyFont="1" applyAlignment="1">
      <alignment horizontal="left"/>
    </xf>
    <xf numFmtId="14" fontId="20" fillId="0" borderId="15" xfId="0" applyNumberFormat="1" applyFont="1" applyBorder="1" applyAlignment="1">
      <alignment horizontal="left" vertical="top"/>
    </xf>
    <xf numFmtId="164" fontId="20" fillId="0" borderId="17" xfId="0" applyNumberFormat="1" applyFont="1" applyBorder="1" applyAlignment="1">
      <alignment horizontal="left" vertical="top"/>
    </xf>
    <xf numFmtId="0" fontId="20" fillId="0" borderId="23" xfId="0" applyFont="1" applyBorder="1" applyAlignment="1">
      <alignment horizontal="left" vertical="top"/>
    </xf>
    <xf numFmtId="0" fontId="20" fillId="0" borderId="25" xfId="0" applyFont="1" applyBorder="1" applyAlignment="1">
      <alignment horizontal="left" vertical="top"/>
    </xf>
    <xf numFmtId="166" fontId="20" fillId="0" borderId="15" xfId="0" applyNumberFormat="1" applyFont="1" applyBorder="1" applyAlignment="1">
      <alignment horizontal="left"/>
    </xf>
    <xf numFmtId="44" fontId="20" fillId="0" borderId="15" xfId="43" applyFont="1" applyBorder="1" applyAlignment="1">
      <alignment horizontal="left"/>
    </xf>
    <xf numFmtId="164" fontId="20" fillId="0" borderId="18" xfId="0" applyNumberFormat="1" applyFont="1" applyBorder="1" applyAlignment="1">
      <alignment horizontal="left" vertical="top"/>
    </xf>
    <xf numFmtId="0" fontId="20" fillId="0" borderId="26" xfId="0" applyFont="1" applyBorder="1" applyAlignment="1">
      <alignment horizontal="left" vertical="top" wrapText="1"/>
    </xf>
    <xf numFmtId="0" fontId="20" fillId="0" borderId="18" xfId="0" applyFont="1" applyBorder="1" applyAlignment="1">
      <alignment horizontal="left" vertical="top"/>
    </xf>
    <xf numFmtId="14" fontId="20" fillId="0" borderId="18" xfId="0" applyNumberFormat="1" applyFont="1" applyBorder="1" applyAlignment="1">
      <alignment horizontal="left" vertical="top"/>
    </xf>
    <xf numFmtId="0" fontId="20" fillId="0" borderId="27" xfId="0" applyFont="1" applyBorder="1" applyAlignment="1">
      <alignment horizontal="left" vertical="top"/>
    </xf>
    <xf numFmtId="0" fontId="20" fillId="0" borderId="26" xfId="0" applyFont="1" applyBorder="1" applyAlignment="1">
      <alignment horizontal="left" vertical="top"/>
    </xf>
    <xf numFmtId="0" fontId="20" fillId="0" borderId="17" xfId="0" applyFont="1" applyBorder="1" applyAlignment="1">
      <alignment horizontal="left" vertical="top" wrapText="1"/>
    </xf>
    <xf numFmtId="0" fontId="20" fillId="0" borderId="28" xfId="0" applyFont="1" applyBorder="1" applyAlignment="1">
      <alignment horizontal="left" vertical="top" wrapText="1"/>
    </xf>
    <xf numFmtId="14" fontId="20" fillId="0" borderId="17" xfId="0" applyNumberFormat="1" applyFont="1" applyBorder="1" applyAlignment="1">
      <alignment horizontal="left" vertical="top"/>
    </xf>
    <xf numFmtId="0" fontId="20" fillId="0" borderId="29" xfId="0" applyFont="1" applyBorder="1" applyAlignment="1">
      <alignment horizontal="left" vertical="top"/>
    </xf>
    <xf numFmtId="0" fontId="20" fillId="0" borderId="28" xfId="0" applyFont="1" applyBorder="1" applyAlignment="1">
      <alignment horizontal="left" vertical="top"/>
    </xf>
    <xf numFmtId="14" fontId="20" fillId="0" borderId="28" xfId="0" applyNumberFormat="1" applyFont="1" applyBorder="1" applyAlignment="1">
      <alignment horizontal="left" vertical="top"/>
    </xf>
    <xf numFmtId="0" fontId="20" fillId="0" borderId="18" xfId="0" applyFont="1" applyBorder="1" applyAlignment="1">
      <alignment horizontal="left" vertical="top" wrapText="1"/>
    </xf>
    <xf numFmtId="0" fontId="20" fillId="0" borderId="27" xfId="0" applyFont="1" applyBorder="1" applyAlignment="1">
      <alignment horizontal="left" vertical="top" wrapText="1"/>
    </xf>
    <xf numFmtId="0" fontId="20" fillId="0" borderId="23" xfId="0" applyFont="1" applyBorder="1" applyAlignment="1">
      <alignment horizontal="left" vertical="top" wrapText="1"/>
    </xf>
    <xf numFmtId="0" fontId="20" fillId="0" borderId="29" xfId="0" applyFont="1" applyBorder="1" applyAlignment="1">
      <alignment horizontal="left" vertical="top" wrapText="1"/>
    </xf>
    <xf numFmtId="16" fontId="20" fillId="0" borderId="15" xfId="0" applyNumberFormat="1" applyFont="1" applyBorder="1" applyAlignment="1">
      <alignment horizontal="left" vertical="top"/>
    </xf>
    <xf numFmtId="44" fontId="20" fillId="0" borderId="15" xfId="43" applyFont="1" applyBorder="1" applyAlignment="1">
      <alignment horizontal="left" vertical="top"/>
    </xf>
    <xf numFmtId="166" fontId="40" fillId="0" borderId="31" xfId="0" applyNumberFormat="1" applyFont="1" applyBorder="1" applyAlignment="1">
      <alignment horizontal="left"/>
    </xf>
    <xf numFmtId="15" fontId="20" fillId="0" borderId="15" xfId="0" applyNumberFormat="1" applyFont="1" applyBorder="1" applyAlignment="1">
      <alignment horizontal="left" vertical="top"/>
    </xf>
    <xf numFmtId="167" fontId="20" fillId="0" borderId="15" xfId="0" applyNumberFormat="1" applyFont="1" applyBorder="1" applyAlignment="1">
      <alignment horizontal="left" vertical="top"/>
    </xf>
    <xf numFmtId="0" fontId="36" fillId="0" borderId="0" xfId="0" applyFont="1" applyAlignment="1">
      <alignment horizontal="left" vertical="center" wrapText="1"/>
    </xf>
    <xf numFmtId="0" fontId="37" fillId="0" borderId="0" xfId="0" applyFont="1" applyAlignment="1">
      <alignment horizontal="left" wrapText="1"/>
    </xf>
    <xf numFmtId="0" fontId="20" fillId="0" borderId="15" xfId="0" applyFont="1" applyBorder="1" applyAlignment="1">
      <alignment horizontal="left" wrapText="1"/>
    </xf>
    <xf numFmtId="0" fontId="38" fillId="0" borderId="15" xfId="0" applyFont="1" applyBorder="1" applyAlignment="1">
      <alignment horizontal="left" wrapText="1"/>
    </xf>
    <xf numFmtId="44" fontId="39" fillId="0" borderId="0" xfId="43" applyFont="1" applyAlignment="1">
      <alignment horizontal="left"/>
    </xf>
    <xf numFmtId="0" fontId="20" fillId="0" borderId="30" xfId="0" applyFont="1" applyBorder="1" applyAlignment="1">
      <alignment horizontal="left" vertical="top" wrapText="1"/>
    </xf>
    <xf numFmtId="0" fontId="20" fillId="0" borderId="19" xfId="0" applyFont="1" applyBorder="1" applyAlignment="1">
      <alignment horizontal="left" vertical="top"/>
    </xf>
    <xf numFmtId="1" fontId="20" fillId="0" borderId="19" xfId="0" applyNumberFormat="1" applyFont="1" applyBorder="1" applyAlignment="1">
      <alignment horizontal="left" vertical="top"/>
    </xf>
    <xf numFmtId="0" fontId="20" fillId="0" borderId="19" xfId="0" applyFont="1" applyBorder="1" applyAlignment="1">
      <alignment horizontal="left" vertical="top" wrapText="1"/>
    </xf>
    <xf numFmtId="0" fontId="20" fillId="0" borderId="21" xfId="0" applyFont="1" applyBorder="1" applyAlignment="1">
      <alignment horizontal="left" vertical="top" wrapText="1"/>
    </xf>
    <xf numFmtId="14" fontId="20" fillId="0" borderId="19" xfId="0" applyNumberFormat="1" applyFont="1" applyBorder="1" applyAlignment="1">
      <alignment horizontal="left" vertical="top"/>
    </xf>
    <xf numFmtId="0" fontId="20" fillId="0" borderId="21" xfId="0" applyFont="1" applyBorder="1" applyAlignment="1">
      <alignment horizontal="left" vertical="top"/>
    </xf>
    <xf numFmtId="0" fontId="20" fillId="37" borderId="19" xfId="0" applyFont="1" applyFill="1" applyBorder="1" applyAlignment="1">
      <alignment horizontal="left" vertical="top"/>
    </xf>
    <xf numFmtId="0" fontId="20" fillId="0" borderId="22" xfId="0" applyFont="1" applyBorder="1" applyAlignment="1">
      <alignment horizontal="left" vertical="top"/>
    </xf>
    <xf numFmtId="0" fontId="20" fillId="0" borderId="22" xfId="0" applyFont="1" applyBorder="1" applyAlignment="1">
      <alignment horizontal="left" vertical="top" wrapText="1"/>
    </xf>
    <xf numFmtId="0" fontId="41" fillId="0" borderId="0" xfId="0" applyFont="1" applyAlignment="1">
      <alignment horizontal="left" vertical="top" wrapText="1"/>
    </xf>
    <xf numFmtId="14" fontId="20" fillId="0" borderId="19" xfId="0" applyNumberFormat="1" applyFont="1" applyBorder="1" applyAlignment="1">
      <alignment horizontal="left" vertical="top" wrapText="1"/>
    </xf>
    <xf numFmtId="0" fontId="37" fillId="0" borderId="0" xfId="0" applyFont="1" applyAlignment="1">
      <alignment horizontal="left"/>
    </xf>
    <xf numFmtId="15" fontId="20" fillId="0" borderId="19" xfId="0" applyNumberFormat="1" applyFont="1" applyBorder="1" applyAlignment="1">
      <alignment horizontal="left" vertical="top"/>
    </xf>
    <xf numFmtId="0" fontId="31" fillId="0" borderId="0" xfId="0" applyFont="1" applyAlignment="1">
      <alignment horizontal="left"/>
    </xf>
    <xf numFmtId="0" fontId="20" fillId="0" borderId="24" xfId="0" applyFont="1" applyBorder="1" applyAlignment="1">
      <alignment horizontal="left"/>
    </xf>
    <xf numFmtId="0" fontId="31" fillId="0" borderId="19" xfId="0" applyFont="1" applyBorder="1" applyAlignment="1">
      <alignment horizontal="left" vertical="top"/>
    </xf>
    <xf numFmtId="0" fontId="19" fillId="0" borderId="17" xfId="0" applyFont="1" applyBorder="1" applyAlignment="1">
      <alignment vertical="top"/>
    </xf>
    <xf numFmtId="0" fontId="19" fillId="0" borderId="15" xfId="0" applyFont="1" applyBorder="1" applyAlignment="1">
      <alignment vertical="top"/>
    </xf>
    <xf numFmtId="1" fontId="19" fillId="0" borderId="19" xfId="0" applyNumberFormat="1" applyFont="1" applyBorder="1" applyAlignment="1">
      <alignment vertical="top"/>
    </xf>
    <xf numFmtId="1" fontId="19" fillId="0" borderId="20" xfId="0" applyNumberFormat="1" applyFont="1" applyBorder="1" applyAlignment="1">
      <alignment vertical="top"/>
    </xf>
    <xf numFmtId="1" fontId="20" fillId="0" borderId="21" xfId="0" applyNumberFormat="1" applyFont="1" applyBorder="1" applyAlignment="1">
      <alignment horizontal="left" vertical="top"/>
    </xf>
    <xf numFmtId="0" fontId="20" fillId="0" borderId="22" xfId="0" applyFont="1" applyBorder="1" applyAlignment="1">
      <alignment horizontal="left"/>
    </xf>
    <xf numFmtId="1" fontId="20" fillId="0" borderId="20" xfId="0" applyNumberFormat="1" applyFont="1" applyBorder="1" applyAlignment="1">
      <alignment horizontal="left" vertical="top"/>
    </xf>
    <xf numFmtId="1" fontId="20" fillId="0" borderId="10" xfId="0" applyNumberFormat="1" applyFont="1" applyBorder="1" applyAlignment="1">
      <alignment horizontal="left" vertical="top"/>
    </xf>
    <xf numFmtId="1" fontId="19" fillId="0" borderId="10" xfId="0" applyNumberFormat="1" applyFont="1" applyBorder="1" applyAlignment="1">
      <alignment vertical="top"/>
    </xf>
    <xf numFmtId="1" fontId="20" fillId="0" borderId="10" xfId="0" applyNumberFormat="1" applyFont="1" applyBorder="1" applyAlignment="1">
      <alignment horizontal="left"/>
    </xf>
    <xf numFmtId="1" fontId="19" fillId="0" borderId="10" xfId="0" applyNumberFormat="1" applyFont="1" applyBorder="1" applyAlignment="1">
      <alignment vertical="center"/>
    </xf>
    <xf numFmtId="0" fontId="19" fillId="0" borderId="10" xfId="0" applyFont="1" applyBorder="1" applyAlignment="1">
      <alignment vertical="center"/>
    </xf>
    <xf numFmtId="0" fontId="20" fillId="0" borderId="32" xfId="0" applyFont="1" applyBorder="1" applyAlignment="1">
      <alignment horizontal="left"/>
    </xf>
    <xf numFmtId="0" fontId="20" fillId="0" borderId="20" xfId="0" applyFont="1" applyBorder="1" applyAlignment="1">
      <alignment horizontal="left"/>
    </xf>
    <xf numFmtId="0" fontId="20" fillId="0" borderId="20" xfId="0" applyFont="1" applyBorder="1" applyAlignment="1">
      <alignment horizontal="left" wrapText="1"/>
    </xf>
    <xf numFmtId="0" fontId="20" fillId="0" borderId="33" xfId="0" applyFont="1" applyBorder="1" applyAlignment="1">
      <alignment horizontal="left" wrapText="1"/>
    </xf>
    <xf numFmtId="0" fontId="20" fillId="0" borderId="33" xfId="0" applyFont="1" applyBorder="1" applyAlignment="1">
      <alignment horizontal="left"/>
    </xf>
    <xf numFmtId="14" fontId="20" fillId="0" borderId="20" xfId="0" applyNumberFormat="1" applyFont="1" applyBorder="1" applyAlignment="1">
      <alignment horizontal="left" vertical="top"/>
    </xf>
    <xf numFmtId="0" fontId="20" fillId="0" borderId="10" xfId="0" applyFont="1" applyBorder="1" applyAlignment="1">
      <alignment horizontal="left"/>
    </xf>
    <xf numFmtId="0" fontId="20" fillId="0" borderId="10" xfId="0" applyFont="1" applyBorder="1" applyAlignment="1">
      <alignment horizontal="left" wrapText="1"/>
    </xf>
    <xf numFmtId="14" fontId="20" fillId="0" borderId="10" xfId="0" applyNumberFormat="1" applyFont="1" applyBorder="1" applyAlignment="1">
      <alignment horizontal="left" vertical="top"/>
    </xf>
    <xf numFmtId="1" fontId="20" fillId="0" borderId="10" xfId="0" applyNumberFormat="1" applyFont="1" applyBorder="1" applyAlignment="1">
      <alignment horizontal="left" vertical="top" wrapText="1"/>
    </xf>
    <xf numFmtId="1" fontId="20" fillId="0" borderId="15" xfId="0" applyNumberFormat="1" applyFont="1" applyBorder="1" applyAlignment="1">
      <alignment horizontal="left" vertical="top"/>
    </xf>
    <xf numFmtId="0" fontId="43" fillId="0" borderId="0" xfId="0" applyFont="1"/>
    <xf numFmtId="16" fontId="20" fillId="0" borderId="0" xfId="0" applyNumberFormat="1" applyFont="1" applyAlignment="1">
      <alignment horizontal="left"/>
    </xf>
    <xf numFmtId="4" fontId="20" fillId="0" borderId="0" xfId="0" applyNumberFormat="1" applyFont="1" applyAlignment="1">
      <alignment horizontal="left"/>
    </xf>
    <xf numFmtId="0" fontId="20" fillId="0" borderId="11" xfId="0" applyFont="1" applyBorder="1" applyAlignment="1">
      <alignment horizontal="left"/>
    </xf>
    <xf numFmtId="0" fontId="20" fillId="0" borderId="11" xfId="0" applyFont="1" applyBorder="1" applyAlignment="1">
      <alignment horizontal="left" wrapText="1"/>
    </xf>
    <xf numFmtId="14" fontId="20" fillId="0" borderId="11" xfId="0" applyNumberFormat="1" applyFont="1" applyBorder="1" applyAlignment="1">
      <alignment horizontal="left" vertical="top"/>
    </xf>
    <xf numFmtId="165" fontId="20" fillId="0" borderId="10" xfId="0" applyNumberFormat="1" applyFont="1" applyBorder="1" applyAlignment="1">
      <alignment horizontal="left"/>
    </xf>
    <xf numFmtId="0" fontId="0" fillId="0" borderId="21" xfId="0" applyBorder="1"/>
    <xf numFmtId="0" fontId="45"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E34482D7-229E-45CC-9F7C-731F88AB463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3.xml"/></Relationships>
</file>

<file path=xl/documenttasks/documenttask1.xml><?xml version="1.0" encoding="utf-8"?>
<Tasks xmlns="http://schemas.microsoft.com/office/tasks/2019/documenttasks">
  <Task id="{F1C79A57-B136-4AD5-9653-350174D94ED1}">
    <Anchor>
      <Comment id="{5559B5C8-EC5B-48AB-9DD3-5C3E61AB2235}"/>
    </Anchor>
    <History>
      <Event time="2025-08-07T20:33:27.19" id="{A496AE20-A4B5-43DF-A300-41FA436CB97C}">
        <Attribution userId="S::mkamau@eedadvisory.com::6520a662-c00a-4266-a6ce-5af8d9264841" userName="Mercy Kamau" userProvider="AD"/>
        <Anchor>
          <Comment id="{5559B5C8-EC5B-48AB-9DD3-5C3E61AB2235}"/>
        </Anchor>
        <Create/>
      </Event>
      <Event time="2025-08-07T20:33:27.19" id="{FC7E8803-001F-4765-957C-0F70F7487A46}">
        <Attribution userId="S::mkamau@eedadvisory.com::6520a662-c00a-4266-a6ce-5af8d9264841" userName="Mercy Kamau" userProvider="AD"/>
        <Anchor>
          <Comment id="{5559B5C8-EC5B-48AB-9DD3-5C3E61AB2235}"/>
        </Anchor>
        <Assign userId="S::egithinji@eedadvisory.com::57fd828c-4dd7-49cb-b83e-a5b794f3ed4c" userName="Esther Githinji" userProvider="AD"/>
      </Event>
      <Event time="2025-08-07T20:33:27.19" id="{25365271-4A09-4B61-95B1-F213D23B62E3}">
        <Attribution userId="S::mkamau@eedadvisory.com::6520a662-c00a-4266-a6ce-5af8d9264841" userName="Mercy Kamau" userProvider="AD"/>
        <Anchor>
          <Comment id="{5559B5C8-EC5B-48AB-9DD3-5C3E61AB2235}"/>
        </Anchor>
        <SetTitle title="@Esther Githinji please complete populate this"/>
      </Event>
    </History>
  </Task>
  <Task id="{18A54197-0954-4BB0-B954-4DCB07E0A060}">
    <Anchor>
      <Comment id="{8AAC896B-2695-47F9-8F79-CA53DE037DF9}"/>
    </Anchor>
    <History>
      <Event time="2025-08-07T20:32:42.81" id="{74ED3426-370E-4D95-B4ED-43F1AB38C88A}">
        <Attribution userId="S::mkamau@eedadvisory.com::6520a662-c00a-4266-a6ce-5af8d9264841" userName="Mercy Kamau" userProvider="AD"/>
        <Anchor>
          <Comment id="{8AAC896B-2695-47F9-8F79-CA53DE037DF9}"/>
        </Anchor>
        <Create/>
      </Event>
      <Event time="2025-08-07T20:32:42.81" id="{46D98317-D0E2-43E4-8974-EEA6879883D0}">
        <Attribution userId="S::mkamau@eedadvisory.com::6520a662-c00a-4266-a6ce-5af8d9264841" userName="Mercy Kamau" userProvider="AD"/>
        <Anchor>
          <Comment id="{8AAC896B-2695-47F9-8F79-CA53DE037DF9}"/>
        </Anchor>
        <Assign userId="S::mkisaka@eedadvisory.com::e16fe2fd-b1be-4263-9a4e-9310784f3b38" userName="Mary Kisaka" userProvider="AD"/>
      </Event>
      <Event time="2025-08-07T20:32:42.81" id="{492DD893-B9BC-43F6-8C98-432B0DE83297}">
        <Attribution userId="S::mkamau@eedadvisory.com::6520a662-c00a-4266-a6ce-5af8d9264841" userName="Mercy Kamau" userProvider="AD"/>
        <Anchor>
          <Comment id="{8AAC896B-2695-47F9-8F79-CA53DE037DF9}"/>
        </Anchor>
        <SetTitle title="@Mary Kisaka please populate this"/>
      </Event>
    </History>
  </Task>
  <Task id="{780253BB-FE23-4F95-983E-F31454877762}">
    <Anchor>
      <Comment id="{276AAFDC-F3CE-4D9F-AA68-34F1D478132C}"/>
    </Anchor>
    <History>
      <Event time="2025-08-07T20:34:06.58" id="{3299936D-6E7E-4137-BEEF-641F339C225F}">
        <Attribution userId="S::mkamau@eedadvisory.com::6520a662-c00a-4266-a6ce-5af8d9264841" userName="Mercy Kamau" userProvider="AD"/>
        <Anchor>
          <Comment id="{276AAFDC-F3CE-4D9F-AA68-34F1D478132C}"/>
        </Anchor>
        <Create/>
      </Event>
      <Event time="2025-08-07T20:34:06.58" id="{166C3FA6-6BC5-4274-BCB3-7C09E39112D0}">
        <Attribution userId="S::mkamau@eedadvisory.com::6520a662-c00a-4266-a6ce-5af8d9264841" userName="Mercy Kamau" userProvider="AD"/>
        <Anchor>
          <Comment id="{276AAFDC-F3CE-4D9F-AA68-34F1D478132C}"/>
        </Anchor>
        <Assign userId="S::ambutura@eedadvisory.com::eae8a423-4a0b-41e0-98b2-31261d821362" userName="Alois Mbutura" userProvider="AD"/>
      </Event>
      <Event time="2025-08-07T20:34:06.58" id="{4A12D440-DF61-45EB-BCD5-508475A54975}">
        <Attribution userId="S::mkamau@eedadvisory.com::6520a662-c00a-4266-a6ce-5af8d9264841" userName="Mercy Kamau" userProvider="AD"/>
        <Anchor>
          <Comment id="{276AAFDC-F3CE-4D9F-AA68-34F1D478132C}"/>
        </Anchor>
        <SetTitle title="@Alois Mbutura please complete this"/>
      </Event>
    </History>
  </Task>
</Tasks>
</file>

<file path=xl/documenttasks/documenttask2.xml><?xml version="1.0" encoding="utf-8"?>
<Tasks xmlns="http://schemas.microsoft.com/office/tasks/2019/documenttasks">
  <Task id="{857BBC22-9607-49C6-BAC0-505304F84312}">
    <Anchor>
      <Comment id="{FA74E992-B3FE-46E8-9794-DDD8DD9A5F92}"/>
    </Anchor>
    <History>
      <Event time="2025-04-16T13:32:47.43" id="{BF0CE579-0477-427C-B345-057B33F424AC}">
        <Attribution userId="S::akahihia@eedadvisory.com::8e917cce-88e2-42a5-9018-a0e587e6d0f0" userName="Ann Kahihia" userProvider="AD"/>
        <Anchor>
          <Comment id="{FA74E992-B3FE-46E8-9794-DDD8DD9A5F92}"/>
        </Anchor>
        <Create/>
      </Event>
      <Event time="2025-04-16T13:32:47.43" id="{32EBA217-05BA-43AB-B3F6-256F511740D6}">
        <Attribution userId="S::akahihia@eedadvisory.com::8e917cce-88e2-42a5-9018-a0e587e6d0f0" userName="Ann Kahihia" userProvider="AD"/>
        <Anchor>
          <Comment id="{FA74E992-B3FE-46E8-9794-DDD8DD9A5F92}"/>
        </Anchor>
        <Assign userId="S::cngaira@eedadvisory.com::5d63352a-d369-4156-a3e3-71604bb4cc71" userName="Carl Ngaira" userProvider="AD"/>
      </Event>
      <Event time="2025-04-16T13:32:47.43" id="{9DA551DB-DF71-44C1-81C5-D16C20541E38}">
        <Attribution userId="S::akahihia@eedadvisory.com::8e917cce-88e2-42a5-9018-a0e587e6d0f0" userName="Ann Kahihia" userProvider="AD"/>
        <Anchor>
          <Comment id="{FA74E992-B3FE-46E8-9794-DDD8DD9A5F92}"/>
        </Anchor>
        <SetTitle title="@Carl Ngaira ,please update this"/>
      </Event>
    </History>
  </Task>
  <Task id="{0EEA0C4A-7F2F-4863-B240-CC51C81D4AE8}">
    <Anchor>
      <Comment id="{59990635-68D6-4892-919F-84F236647FDE}"/>
    </Anchor>
    <History>
      <Event time="2025-03-28T14:04:03.75" id="{F79E5EAA-871C-4157-AD98-C880F5318D5E}">
        <Attribution userId="S::akahihia@eedadvisory.com::8e917cce-88e2-42a5-9018-a0e587e6d0f0" userName="Ann Kahihia" userProvider="AD"/>
        <Anchor>
          <Comment id="{59990635-68D6-4892-919F-84F236647FDE}"/>
        </Anchor>
        <Create/>
      </Event>
      <Event time="2025-03-28T14:04:03.75" id="{76EBC454-F21B-4274-A173-30A6CE7F3491}">
        <Attribution userId="S::akahihia@eedadvisory.com::8e917cce-88e2-42a5-9018-a0e587e6d0f0" userName="Ann Kahihia" userProvider="AD"/>
        <Anchor>
          <Comment id="{59990635-68D6-4892-919F-84F236647FDE}"/>
        </Anchor>
        <Assign userId="S::cmbodji@eedadvisory.com::08ca7415-fefe-49dc-996d-94ba275353a2" userName="Cheikh  Mbodji" userProvider="AD"/>
      </Event>
      <Event time="2025-03-28T14:04:03.75" id="{9265D866-0027-4722-9C00-5904A5969289}">
        <Attribution userId="S::akahihia@eedadvisory.com::8e917cce-88e2-42a5-9018-a0e587e6d0f0" userName="Ann Kahihia" userProvider="AD"/>
        <Anchor>
          <Comment id="{59990635-68D6-4892-919F-84F236647FDE}"/>
        </Anchor>
        <SetTitle title="@Cheikh Mbodji, please update this bid including the budget"/>
      </Event>
      <Event time="2025-03-28T15:20:28.61" id="{79BA69A0-4C26-4DED-8013-8C5F46A2DC06}">
        <Attribution userId="S::cmbodji@eedadvisory.com::08ca7415-fefe-49dc-996d-94ba275353a2" userName="Cheikh  Mbodji" userProvider="AD"/>
        <Progress percentComplete="100"/>
      </Event>
    </History>
  </Task>
  <Task id="{D41E877E-BF5C-4A27-B28F-1997AD53D366}">
    <Anchor>
      <Comment id="{04423312-33DF-4740-B9A8-130A8D4DC7B4}"/>
    </Anchor>
    <History>
      <Event time="2026-07-17T09:01:46.06" id="{AB8BD84F-8DF2-44CC-98A8-69B70FA08D3E}">
        <Attribution userId="S::mkamau@eedadvisory.com::6520a662-c00a-4266-a6ce-5af8d9264841" userName="Mercy Kamau" userProvider="AD"/>
        <Anchor>
          <Comment id="{04423312-33DF-4740-B9A8-130A8D4DC7B4}"/>
        </Anchor>
        <Create/>
      </Event>
      <Event time="2026-07-17T09:01:46.06" id="{6FFDEF9B-3BBE-4E92-991D-5D8C12427256}">
        <Attribution userId="S::mkamau@eedadvisory.com::6520a662-c00a-4266-a6ce-5af8d9264841" userName="Mercy Kamau" userProvider="AD"/>
        <Anchor>
          <Comment id="{04423312-33DF-4740-B9A8-130A8D4DC7B4}"/>
        </Anchor>
        <Assign userId="S::cngaira@eedadvisory.com::5d63352a-d369-4156-a3e3-71604bb4cc71" userName="Carl Ngaira" userProvider="AD"/>
      </Event>
      <Event time="2026-07-17T09:01:46.06" id="{7207CD05-8396-42FE-9626-DBD895905E11}">
        <Attribution userId="S::mkamau@eedadvisory.com::6520a662-c00a-4266-a6ce-5af8d9264841" userName="Mercy Kamau" userProvider="AD"/>
        <Anchor>
          <Comment id="{04423312-33DF-4740-B9A8-130A8D4DC7B4}"/>
        </Anchor>
        <SetTitle title="@Carl Ngaira please update the title of the opportunity even though it was cancelled"/>
      </Event>
    </History>
  </Task>
  <Task id="{F45FBF88-8C19-4E81-9F29-99B417C63F44}">
    <Anchor>
      <Comment id="{A0862A0C-1D2F-460D-B1DF-BF51E4ABBE2B}"/>
    </Anchor>
    <History>
      <Event time="2026-07-17T09:00:58.20" id="{920DE398-4237-4F17-AC0D-38663B53B601}">
        <Attribution userId="S::mkamau@eedadvisory.com::6520a662-c00a-4266-a6ce-5af8d9264841" userName="Mercy Kamau" userProvider="AD"/>
        <Anchor>
          <Comment id="{A0862A0C-1D2F-460D-B1DF-BF51E4ABBE2B}"/>
        </Anchor>
        <Create/>
      </Event>
      <Event time="2026-07-17T09:00:58.20" id="{FAFBC50B-669A-414E-92A4-973DD45D5D59}">
        <Attribution userId="S::mkamau@eedadvisory.com::6520a662-c00a-4266-a6ce-5af8d9264841" userName="Mercy Kamau" userProvider="AD"/>
        <Anchor>
          <Comment id="{A0862A0C-1D2F-460D-B1DF-BF51E4ABBE2B}"/>
        </Anchor>
        <Assign userId="S::abungei@eedadvisory.com::d88c000c-29b6-42c6-ba33-96cf523bb97d" userName="Amos Bungei" userProvider="AD"/>
      </Event>
      <Event time="2026-07-17T09:00:58.20" id="{64FD8FAC-5A7E-4D1C-BAAF-5A1D5A1C7D20}">
        <Attribution userId="S::mkamau@eedadvisory.com::6520a662-c00a-4266-a6ce-5af8d9264841" userName="Mercy Kamau" userProvider="AD"/>
        <Anchor>
          <Comment id="{A0862A0C-1D2F-460D-B1DF-BF51E4ABBE2B}"/>
        </Anchor>
        <SetTitle title="@Amos Bungei please update this"/>
      </Event>
    </History>
  </Task>
</Tasks>
</file>

<file path=xl/documenttasks/documenttask3.xml><?xml version="1.0" encoding="utf-8"?>
<Tasks xmlns="http://schemas.microsoft.com/office/tasks/2019/documenttasks">
  <Task id="{F2F0C914-890D-40DA-AD52-77C67291E547}">
    <Anchor>
      <Comment id="{6E7DACE7-C083-4722-87E2-9711EBF0FF22}"/>
    </Anchor>
    <History>
      <Event time="2025-05-09T07:42:00.61" id="{7889DF4D-678B-41FC-8F5F-7EBB663D334E}">
        <Attribution userId="S::akahihia@eedadvisory.com::8e917cce-88e2-42a5-9018-a0e587e6d0f0" userName="Ann Kahihia" userProvider="AD"/>
        <Anchor>
          <Comment id="{6E7DACE7-C083-4722-87E2-9711EBF0FF22}"/>
        </Anchor>
        <Create/>
      </Event>
      <Event time="2025-05-09T07:42:00.61" id="{FB8A7A9A-B3BF-44E7-BB0A-3B553A209B46}">
        <Attribution userId="S::akahihia@eedadvisory.com::8e917cce-88e2-42a5-9018-a0e587e6d0f0" userName="Ann Kahihia" userProvider="AD"/>
        <Anchor>
          <Comment id="{6E7DACE7-C083-4722-87E2-9711EBF0FF22}"/>
        </Anchor>
        <Assign userId="S::jayeny@eedadvisory.com::76c5a36a-34eb-47b2-bcb2-91a9775b2d55" userName="Arnold Jonathan Ayeny" userProvider="AD"/>
      </Event>
      <Event time="2025-05-09T07:42:00.61" id="{6711417E-F906-4D7F-802B-9751B9C58150}">
        <Attribution userId="S::akahihia@eedadvisory.com::8e917cce-88e2-42a5-9018-a0e587e6d0f0" userName="Ann Kahihia" userProvider="AD"/>
        <Anchor>
          <Comment id="{6E7DACE7-C083-4722-87E2-9711EBF0FF22}"/>
        </Anchor>
        <SetTitle title="@Arnold Jonathan Ayeny, please complete this"/>
      </Event>
    </History>
  </Task>
  <Task id="{698A762D-749B-46B8-9FFB-F6CA188A45A2}">
    <Anchor>
      <Comment id="{222985D7-E104-4FFD-B95B-CFEA014622FD}"/>
    </Anchor>
    <History>
      <Event time="2025-05-09T07:48:48.86" id="{5BCBCBB2-F718-43F5-9DBF-403AE3EBB5CE}">
        <Attribution userId="S::akahihia@eedadvisory.com::8e917cce-88e2-42a5-9018-a0e587e6d0f0" userName="Ann Kahihia" userProvider="AD"/>
        <Anchor>
          <Comment id="{222985D7-E104-4FFD-B95B-CFEA014622FD}"/>
        </Anchor>
        <Create/>
      </Event>
      <Event time="2025-05-09T07:48:48.86" id="{DBCF092D-7483-4FC7-80FE-B64CC6A5F990}">
        <Attribution userId="S::akahihia@eedadvisory.com::8e917cce-88e2-42a5-9018-a0e587e6d0f0" userName="Ann Kahihia" userProvider="AD"/>
        <Anchor>
          <Comment id="{222985D7-E104-4FFD-B95B-CFEA014622FD}"/>
        </Anchor>
        <Assign userId="S::mkisaka@eedadvisory.com::e16fe2fd-b1be-4263-9a4e-9310784f3b38" userName="Mary Kisaka" userProvider="AD"/>
      </Event>
      <Event time="2025-05-09T07:48:48.86" id="{09527AFD-C76E-4FD4-91C1-7989E1F6B7C3}">
        <Attribution userId="S::akahihia@eedadvisory.com::8e917cce-88e2-42a5-9018-a0e587e6d0f0" userName="Ann Kahihia" userProvider="AD"/>
        <Anchor>
          <Comment id="{222985D7-E104-4FFD-B95B-CFEA014622FD}"/>
        </Anchor>
        <SetTitle title="@Mary Kisaka, please update this section"/>
      </Event>
    </History>
  </Task>
  <Task id="{58F25A6F-97C9-4ABC-AF74-DBA14CF40301}">
    <Anchor>
      <Comment id="{C358D54C-F94D-418C-944F-C07955D1113C}"/>
    </Anchor>
    <History>
      <Event time="2025-05-09T07:47:54.83" id="{9264A600-15F2-43B4-AC36-BC4DE1A41D64}">
        <Attribution userId="S::akahihia@eedadvisory.com::8e917cce-88e2-42a5-9018-a0e587e6d0f0" userName="Ann Kahihia" userProvider="AD"/>
        <Anchor>
          <Comment id="{C358D54C-F94D-418C-944F-C07955D1113C}"/>
        </Anchor>
        <Create/>
      </Event>
      <Event time="2025-05-09T07:47:54.83" id="{C10CAFCB-3C8E-4F75-BDD3-915979120D37}">
        <Attribution userId="S::akahihia@eedadvisory.com::8e917cce-88e2-42a5-9018-a0e587e6d0f0" userName="Ann Kahihia" userProvider="AD"/>
        <Anchor>
          <Comment id="{C358D54C-F94D-418C-944F-C07955D1113C}"/>
        </Anchor>
        <Assign userId="S::jayeny@eedadvisory.com::76c5a36a-34eb-47b2-bcb2-91a9775b2d55" userName="Arnold Jonathan Ayeny" userProvider="AD"/>
      </Event>
      <Event time="2025-05-09T07:47:54.83" id="{4AAF42A5-E9D5-483C-BD1D-D913A3288A1A}">
        <Attribution userId="S::akahihia@eedadvisory.com::8e917cce-88e2-42a5-9018-a0e587e6d0f0" userName="Ann Kahihia" userProvider="AD"/>
        <Anchor>
          <Comment id="{C358D54C-F94D-418C-944F-C07955D1113C}"/>
        </Anchor>
        <SetTitle title="@Arnold Jonathan Ayeny"/>
      </Event>
    </History>
  </Task>
  <Task id="{F81F7876-F76D-4887-A7CB-554AAB6AB337}">
    <Anchor>
      <Comment id="{2B7D8E3E-0203-4527-81E2-1C73B2194CCB}"/>
    </Anchor>
    <History>
      <Event time="2025-05-09T07:46:02.81" id="{E22B4AF7-3CD2-4A6E-ACB7-A6A1791B615F}">
        <Attribution userId="S::akahihia@eedadvisory.com::8e917cce-88e2-42a5-9018-a0e587e6d0f0" userName="Ann Kahihia" userProvider="AD"/>
        <Anchor>
          <Comment id="{2B7D8E3E-0203-4527-81E2-1C73B2194CCB}"/>
        </Anchor>
        <Create/>
      </Event>
      <Event time="2025-05-09T07:46:02.81" id="{95E475B6-9F25-496E-AF31-8567A333223C}">
        <Attribution userId="S::akahihia@eedadvisory.com::8e917cce-88e2-42a5-9018-a0e587e6d0f0" userName="Ann Kahihia" userProvider="AD"/>
        <Anchor>
          <Comment id="{2B7D8E3E-0203-4527-81E2-1C73B2194CCB}"/>
        </Anchor>
        <Assign userId="S::ichibole@eedadvisory.com::33e52ccc-cf38-4ec8-9d81-e847c45ccd9f" userName="Isaac Chibole" userProvider="AD"/>
      </Event>
      <Event time="2025-05-09T07:46:02.81" id="{13D458A8-DC24-4675-81B8-BF88E02A8B35}">
        <Attribution userId="S::akahihia@eedadvisory.com::8e917cce-88e2-42a5-9018-a0e587e6d0f0" userName="Ann Kahihia" userProvider="AD"/>
        <Anchor>
          <Comment id="{2B7D8E3E-0203-4527-81E2-1C73B2194CCB}"/>
        </Anchor>
        <SetTitle title="@Isaac Chibole"/>
      </Event>
    </History>
  </Task>
  <Task id="{F03284CA-B4C5-4CA0-AE77-B4F9D00C4B93}">
    <Anchor>
      <Comment id="{8A5F413B-2E57-4B62-A614-373D252E0E83}"/>
    </Anchor>
    <History>
      <Event time="2025-05-09T07:43:25.37" id="{27A6D3DB-1673-4337-B990-261E871B128A}">
        <Attribution userId="S::akahihia@eedadvisory.com::8e917cce-88e2-42a5-9018-a0e587e6d0f0" userName="Ann Kahihia" userProvider="AD"/>
        <Anchor>
          <Comment id="{8A5F413B-2E57-4B62-A614-373D252E0E83}"/>
        </Anchor>
        <Create/>
      </Event>
      <Event time="2025-05-09T07:43:25.37" id="{8C6391C2-AF5A-4100-AA68-E22F85E4C764}">
        <Attribution userId="S::akahihia@eedadvisory.com::8e917cce-88e2-42a5-9018-a0e587e6d0f0" userName="Ann Kahihia" userProvider="AD"/>
        <Anchor>
          <Comment id="{8A5F413B-2E57-4B62-A614-373D252E0E83}"/>
        </Anchor>
        <Assign userId="S::cngaira@eedadvisory.com::5d63352a-d369-4156-a3e3-71604bb4cc71" userName="Carl Ngaira" userProvider="AD"/>
      </Event>
      <Event time="2025-05-09T07:43:25.37" id="{FEFD90F5-3A57-4C8A-B0D9-ABFA344A3EC7}">
        <Attribution userId="S::akahihia@eedadvisory.com::8e917cce-88e2-42a5-9018-a0e587e6d0f0" userName="Ann Kahihia" userProvider="AD"/>
        <Anchor>
          <Comment id="{8A5F413B-2E57-4B62-A614-373D252E0E83}"/>
        </Anchor>
        <SetTitle title="@Carl Ngaira ,please update this section"/>
      </Event>
    </History>
  </Task>
  <Task id="{C81187DB-4383-429C-93E6-6BEC50ED636F}">
    <Anchor>
      <Comment id="{F1A3BAEF-4CD0-4CF5-AC60-E42D2B6A097D}"/>
    </Anchor>
    <History>
      <Event time="2025-05-09T07:47:31.34" id="{7B4F5070-A86B-4C5C-BDA2-700DCFCC2E04}">
        <Attribution userId="S::akahihia@eedadvisory.com::8e917cce-88e2-42a5-9018-a0e587e6d0f0" userName="Ann Kahihia" userProvider="AD"/>
        <Anchor>
          <Comment id="{F1A3BAEF-4CD0-4CF5-AC60-E42D2B6A097D}"/>
        </Anchor>
        <Create/>
      </Event>
      <Event time="2025-05-09T07:47:31.34" id="{E1F0E7FD-8960-4AD5-AB95-731EDE8BAB1B}">
        <Attribution userId="S::akahihia@eedadvisory.com::8e917cce-88e2-42a5-9018-a0e587e6d0f0" userName="Ann Kahihia" userProvider="AD"/>
        <Anchor>
          <Comment id="{F1A3BAEF-4CD0-4CF5-AC60-E42D2B6A097D}"/>
        </Anchor>
        <Assign userId="S::jayeny@eedadvisory.com::76c5a36a-34eb-47b2-bcb2-91a9775b2d55" userName="Arnold Jonathan Ayeny" userProvider="AD"/>
      </Event>
      <Event time="2025-05-09T07:47:31.34" id="{7DFE8A8B-2B96-4197-B248-2B7E2B490492}">
        <Attribution userId="S::akahihia@eedadvisory.com::8e917cce-88e2-42a5-9018-a0e587e6d0f0" userName="Ann Kahihia" userProvider="AD"/>
        <Anchor>
          <Comment id="{F1A3BAEF-4CD0-4CF5-AC60-E42D2B6A097D}"/>
        </Anchor>
        <SetTitle title="@Arnold Jonathan Ayeny"/>
      </Event>
    </History>
  </Task>
  <Task id="{133D7DFE-1249-43E4-B2B8-B840FF2694F4}">
    <Anchor>
      <Comment id="{D291FF95-4D11-4A8D-AB7F-3F4D25F28E70}"/>
    </Anchor>
    <History>
      <Event time="2025-05-09T07:41:33.48" id="{93A34E04-59C1-4A0F-8A25-A76B5C97AA4A}">
        <Attribution userId="S::akahihia@eedadvisory.com::8e917cce-88e2-42a5-9018-a0e587e6d0f0" userName="Ann Kahihia" userProvider="AD"/>
        <Anchor>
          <Comment id="{D291FF95-4D11-4A8D-AB7F-3F4D25F28E70}"/>
        </Anchor>
        <Create/>
      </Event>
      <Event time="2025-05-09T07:41:33.48" id="{7BD2D40B-CF3A-4DB9-9724-009CCC3DBDE1}">
        <Attribution userId="S::akahihia@eedadvisory.com::8e917cce-88e2-42a5-9018-a0e587e6d0f0" userName="Ann Kahihia" userProvider="AD"/>
        <Anchor>
          <Comment id="{D291FF95-4D11-4A8D-AB7F-3F4D25F28E70}"/>
        </Anchor>
        <Assign userId="S::imunga@eedadvisory.com::20495fbb-448d-466a-a602-c7a580107d1a" userName="Ian Munga" userProvider="AD"/>
      </Event>
      <Event time="2025-05-09T07:41:33.48" id="{88A8C9C0-D425-42DF-A59D-DF2E47EED178}">
        <Attribution userId="S::akahihia@eedadvisory.com::8e917cce-88e2-42a5-9018-a0e587e6d0f0" userName="Ann Kahihia" userProvider="AD"/>
        <Anchor>
          <Comment id="{D291FF95-4D11-4A8D-AB7F-3F4D25F28E70}"/>
        </Anchor>
        <SetTitle title="@Ian Munga please complete this row"/>
      </Event>
    </History>
  </Task>
</Tasks>
</file>

<file path=xl/documenttasks/documenttask4.xml><?xml version="1.0" encoding="utf-8"?>
<Tasks xmlns="http://schemas.microsoft.com/office/tasks/2019/documenttasks">
  <Task id="{D7D35B70-B206-414F-B429-A7B4AB5B1674}">
    <Anchor>
      <Comment id="{9A693DBE-E541-424E-91DA-3F3AA6792D63}"/>
    </Anchor>
    <History>
      <Event time="2025-05-09T07:44:23.83" id="{451ED2E6-5432-49B4-A2F0-B900B885E25E}">
        <Attribution userId="S::akahihia@eedadvisory.com::8e917cce-88e2-42a5-9018-a0e587e6d0f0" userName="Ann Kahihia" userProvider="AD"/>
        <Anchor>
          <Comment id="{9A693DBE-E541-424E-91DA-3F3AA6792D63}"/>
        </Anchor>
        <Create/>
      </Event>
      <Event time="2025-05-09T07:44:23.83" id="{D0A0E97D-96E6-48CF-92E3-515ED53C913E}">
        <Attribution userId="S::akahihia@eedadvisory.com::8e917cce-88e2-42a5-9018-a0e587e6d0f0" userName="Ann Kahihia" userProvider="AD"/>
        <Anchor>
          <Comment id="{9A693DBE-E541-424E-91DA-3F3AA6792D63}"/>
        </Anchor>
        <Assign userId="S::cngaira@eedadvisory.com::5d63352a-d369-4156-a3e3-71604bb4cc71" userName="Carl Ngaira" userProvider="AD"/>
      </Event>
      <Event time="2025-05-09T07:44:23.83" id="{94C014E5-A3EF-4209-890F-CA3D3C8E64E3}">
        <Attribution userId="S::akahihia@eedadvisory.com::8e917cce-88e2-42a5-9018-a0e587e6d0f0" userName="Ann Kahihia" userProvider="AD"/>
        <Anchor>
          <Comment id="{9A693DBE-E541-424E-91DA-3F3AA6792D63}"/>
        </Anchor>
        <SetTitle title="@Carl Ngaira"/>
      </Event>
    </History>
  </Task>
  <Task id="{E2C5B4B2-340F-4CE7-BDAD-3E9BAC9178E5}">
    <Anchor>
      <Comment id="{51CD031E-FD7A-4293-BF9B-019EDEF5BDA0}"/>
    </Anchor>
    <History>
      <Event time="2025-05-09T07:45:19.69" id="{23CDC2B6-398C-4E17-939B-E5374B04E9EA}">
        <Attribution userId="S::akahihia@eedadvisory.com::8e917cce-88e2-42a5-9018-a0e587e6d0f0" userName="Ann Kahihia" userProvider="AD"/>
        <Anchor>
          <Comment id="{51CD031E-FD7A-4293-BF9B-019EDEF5BDA0}"/>
        </Anchor>
        <Create/>
      </Event>
      <Event time="2025-05-09T07:45:19.69" id="{DF7D698C-57B6-4A8D-BFA2-78B44F9C5923}">
        <Attribution userId="S::akahihia@eedadvisory.com::8e917cce-88e2-42a5-9018-a0e587e6d0f0" userName="Ann Kahihia" userProvider="AD"/>
        <Anchor>
          <Comment id="{51CD031E-FD7A-4293-BF9B-019EDEF5BDA0}"/>
        </Anchor>
        <Assign userId="S::jayeny@eedadvisory.com::76c5a36a-34eb-47b2-bcb2-91a9775b2d55" userName="Arnold Jonathan Ayeny" userProvider="AD"/>
      </Event>
      <Event time="2025-05-09T07:45:19.69" id="{8F1D8699-88FA-46C8-BD88-461FF5A4186A}">
        <Attribution userId="S::akahihia@eedadvisory.com::8e917cce-88e2-42a5-9018-a0e587e6d0f0" userName="Ann Kahihia" userProvider="AD"/>
        <Anchor>
          <Comment id="{51CD031E-FD7A-4293-BF9B-019EDEF5BDA0}"/>
        </Anchor>
        <SetTitle title="@Arnold Jonathan Ayeny"/>
      </Event>
    </History>
  </Task>
</Tasks>
</file>

<file path=xl/persons/person.xml><?xml version="1.0" encoding="utf-8"?>
<personList xmlns="http://schemas.microsoft.com/office/spreadsheetml/2018/threadedcomments" xmlns:x="http://schemas.openxmlformats.org/spreadsheetml/2006/main">
  <person displayName="MaK" id="{FFD1094C-2D5E-439B-953D-C3D940AFC34F}" userId="MaK" providerId="None"/>
  <person displayName="EED-A" id="{9DD14581-2CA2-4C46-8F2C-687BFE2BEB49}" userId="EED-A" providerId="None"/>
  <person displayName="Mercy" id="{BDA8A2A6-F6E2-4435-AF97-EA918D84A158}" userId="Mercy" providerId="None"/>
  <person displayName="Ian Munga" id="{8FA9A0D4-85C1-4F23-B9FE-569A41364F19}" userId="imunga@eedadvisory.com" providerId="PeoplePicker"/>
  <person displayName="Arnold Jonathan Ayeny" id="{447EE4AB-AD74-478B-B2D5-C56D67927301}" userId="jayeny@eedadvisory.com" providerId="PeoplePicker"/>
  <person displayName="Mercy Kamau" id="{158F006B-F946-4BFE-95D5-B09B753D5941}" userId="mkamau@eedadvisory.com" providerId="PeoplePicker"/>
  <person displayName="Amos Bungei" id="{16EE63B7-A4DB-40E2-915A-E1DC940546F3}" userId="abungei@eedadvisory.com" providerId="PeoplePicker"/>
  <person displayName="Cheikh  Mbodji" id="{135D6D61-969F-4C2D-8CD3-6BAD6101D1AF}" userId="cmbodji@eedadvisory.com" providerId="PeoplePicker"/>
  <person displayName="Carl Ngaira" id="{A74ECD8B-0B86-422E-BA32-315A6430EA7D}" userId="cngaira@eedadvisory.com" providerId="PeoplePicker"/>
  <person displayName="Mary Kisaka" id="{4A1F6138-FC36-4226-A116-0FDB43CBBCF8}" userId="mkisaka@eedadvisory.com" providerId="PeoplePicker"/>
  <person displayName="Alois Mbutura" id="{A88123CC-9F33-42F2-B367-CA0FC27D657F}" userId="ambutura@eedadvisory.com" providerId="PeoplePicker"/>
  <person displayName="Isaac Chibole" id="{47CC5395-1002-49E5-9DEE-2136F11C7A2F}" userId="ichibole@eedadvisory.com" providerId="PeoplePicker"/>
  <person displayName="Esther Githinji" id="{D938393F-6298-4164-B4B8-B0EDFF9F64E6}" userId="egithinji@eedadvisory.com" providerId="PeoplePicker"/>
  <person displayName="Winnie Muriithi" id="{AE87178B-B1F3-497B-8414-07C24647E485}" userId="wmuriithi@eedadvisory.com" providerId="PeoplePicker"/>
  <person displayName="Mercy Kamau" id="{046D77E2-380F-48F6-B905-AFD8CBF46C1D}" userId="S::mkamau@eedadvisory.com::6520a662-c00a-4266-a6ce-5af8d9264841" providerId="AD"/>
  <person displayName="Amos Bungei" id="{C4596721-46B8-4ABE-80E7-7205EB1A1AE7}" userId="S::abungei@eedadvisory.com::d88c000c-29b6-42c6-ba33-96cf523bb97d" providerId="AD"/>
  <person displayName="Cheikh  Mbodji" id="{DE7FF65D-FB73-4413-8495-DB627E6411D4}" userId="S::cmbodji@eedadvisory.com::08ca7415-fefe-49dc-996d-94ba275353a2" providerId="AD"/>
  <person displayName="Ann Kahihia" id="{3A227CF0-A66C-4F81-A433-9169F99AA6A1}" userId="S::akahihia@eedadvisory.com::8e917cce-88e2-42a5-9018-a0e587e6d0f0" providerId="AD"/>
  <person displayName="Isaac Chibole" id="{A22F344C-BA26-4EA4-9649-FCFE1B0D34E0}" userId="S::ichibole@eedadvisory.com::33e52ccc-cf38-4ec8-9d81-e847c45ccd9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2" dT="2025-08-07T20:32:42.81" personId="{046D77E2-380F-48F6-B905-AFD8CBF46C1D}" id="{8AAC896B-2695-47F9-8F79-CA53DE037DF9}">
    <text>@Mary Kisaka please populate this</text>
    <mentions>
      <mention mentionpersonId="{4A1F6138-FC36-4226-A116-0FDB43CBBCF8}" mentionId="{0D354855-60B5-4218-B515-9BD8A9C2E085}" startIndex="0" length="12"/>
    </mentions>
  </threadedComment>
  <threadedComment ref="F17" dT="2025-08-07T20:33:27.20" personId="{046D77E2-380F-48F6-B905-AFD8CBF46C1D}" id="{5559B5C8-EC5B-48AB-9DD3-5C3E61AB2235}">
    <text>@Esther Githinji please complete populate this</text>
    <mentions>
      <mention mentionpersonId="{D938393F-6298-4164-B4B8-B0EDFF9F64E6}" mentionId="{305C3192-5D87-4EA4-81D7-4ED97CBEB06F}" startIndex="0" length="16"/>
    </mentions>
  </threadedComment>
  <threadedComment ref="R18" dT="2025-08-07T20:34:06.58" personId="{046D77E2-380F-48F6-B905-AFD8CBF46C1D}" id="{276AAFDC-F3CE-4D9F-AA68-34F1D478132C}">
    <text>@Alois Mbutura  please complete this</text>
    <mentions>
      <mention mentionpersonId="{A88123CC-9F33-42F2-B367-CA0FC27D657F}" mentionId="{9316837C-919D-4DCE-B505-1AA5EFB71E1C}" startIndex="0" length="1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T17" dT="2025-03-28T14:00:24.44" personId="{3A227CF0-A66C-4F81-A433-9169F99AA6A1}" id="{6A68CC80-AED0-4D9B-B2CC-7E1D8E2801C2}" done="1">
    <text>@Winnie Muriithi ,please update this</text>
    <mentions>
      <mention mentionpersonId="{AE87178B-B1F3-497B-8414-07C24647E485}" mentionId="{E25B81B5-8ED4-4C6C-9447-E955CFDEACCA}" startIndex="0" length="16"/>
    </mentions>
  </threadedComment>
  <threadedComment ref="U18" dT="2025-03-28T14:04:03.07" personId="{3A227CF0-A66C-4F81-A433-9169F99AA6A1}" id="{59990635-68D6-4892-919F-84F236647FDE}" done="1">
    <text>@Cheikh  Mbodji, please update this bid including the budget</text>
    <mentions>
      <mention mentionpersonId="{135D6D61-969F-4C2D-8CD3-6BAD6101D1AF}" mentionId="{21CA76A9-41CF-4E49-A76A-46A47120FFF9}" startIndex="0" length="15"/>
    </mentions>
  </threadedComment>
  <threadedComment ref="T23" dT="2025-05-08T11:25:02.02" personId="{9DD14581-2CA2-4C46-8F2C-687BFE2BEB49}" id="{F2A159E9-3615-4678-8E87-F5E419F01DFE}">
    <text>The budget is restricted to 1 million. This value is in pounds. If we convert it to USD, it is 1.275,939</text>
  </threadedComment>
  <threadedComment ref="E26" dT="2025-04-16T13:32:48.49" personId="{3A227CF0-A66C-4F81-A433-9169F99AA6A1}" id="{FA74E992-B3FE-46E8-9794-DDD8DD9A5F92}">
    <text>@Carl Ngaira ,please update this</text>
    <mentions>
      <mention mentionpersonId="{A74ECD8B-0B86-422E-BA32-315A6430EA7D}" mentionId="{B1507F0B-58C1-4CB9-AF8E-4DE85A642CB8}" startIndex="0" length="12"/>
    </mentions>
  </threadedComment>
  <threadedComment ref="E40" dT="2026-01-18T20:00:19.45" personId="{046D77E2-380F-48F6-B905-AFD8CBF46C1D}" id="{B04439A6-8B54-408E-863F-D9943AF9E74A}" done="1">
    <text>@Cheikh  Mbodji please include the client here. Not sure who the client was</text>
    <mentions>
      <mention mentionpersonId="{135D6D61-969F-4C2D-8CD3-6BAD6101D1AF}" mentionId="{02F38DF2-2CBA-468A-8BA6-88E8A8B7417A}" startIndex="0" length="15"/>
    </mentions>
  </threadedComment>
  <threadedComment ref="E40" dT="2026-01-19T13:29:19.26" personId="{DE7FF65D-FB73-4413-8495-DB627E6411D4}" id="{A185E056-CD24-4EBC-AC0B-AAE291965F67}" parentId="{B04439A6-8B54-408E-863F-D9943AF9E74A}">
    <text>Added</text>
  </threadedComment>
  <threadedComment ref="U73" dT="2026-02-09T08:14:00.77" personId="{A22F344C-BA26-4EA4-9649-FCFE1B0D34E0}" id="{90BE9C04-D841-4916-807E-A6CB40AB3A5C}">
    <text>Evaluation still ongoing</text>
  </threadedComment>
  <threadedComment ref="U82" dT="2026-02-09T08:12:51.11" personId="{A22F344C-BA26-4EA4-9649-FCFE1B0D34E0}" id="{B05EADC7-11AF-4A0A-B825-0EB85F33CCD0}">
    <text>Evaluation still ongoing</text>
  </threadedComment>
  <threadedComment ref="T83" dT="2025-12-18T05:47:42.14" personId="{A22F344C-BA26-4EA4-9649-FCFE1B0D34E0}" id="{0B296092-3BA7-4752-BB81-B1533D82BA18}">
    <text>The quoted price is for the first lot of the work. The budget for the second lot of the work is contigent on the number of beneficiaries to receive TA which will be defined by the client upon contracting.</text>
  </threadedComment>
  <threadedComment ref="F173" dT="2026-07-17T09:01:46.06" personId="{BDA8A2A6-F6E2-4435-AF97-EA918D84A158}" id="{04423312-33DF-4740-B9A8-130A8D4DC7B4}">
    <text>@Carl Ngaira please update the title of the opportunity even though it was cancelled</text>
    <mentions>
      <mention mentionpersonId="{A74ECD8B-0B86-422E-BA32-315A6430EA7D}" mentionId="{619083BF-E0A2-4526-A639-0D174E826955}" startIndex="0" length="12"/>
    </mentions>
  </threadedComment>
  <threadedComment ref="F176" dT="2026-07-17T09:00:58.20" personId="{BDA8A2A6-F6E2-4435-AF97-EA918D84A158}" id="{A0862A0C-1D2F-460D-B1DF-BF51E4ABBE2B}">
    <text>@Amos Bungei please update this</text>
    <mentions>
      <mention mentionpersonId="{16EE63B7-A4DB-40E2-915A-E1DC940546F3}" mentionId="{63CDE4F6-29E6-486E-BE08-27074E7ECA65}" startIndex="0" length="12"/>
    </mentions>
  </threadedComment>
  <threadedComment ref="F176" dT="2026-07-17T09:26:54.43" personId="{C4596721-46B8-4ABE-80E7-7205EB1A1AE7}" id="{5394EA92-5F50-43B2-8054-7D08978BB8F1}" parentId="{A0862A0C-1D2F-460D-B1DF-BF51E4ABBE2B}">
    <text>@Mercy Kamau, this has been updated. Thank you</text>
    <mentions>
      <mention mentionpersonId="{158F006B-F946-4BFE-95D5-B09B753D5941}" mentionId="{3E7380A3-D55D-48B1-BE9B-FA8BDE58D610}" startIndex="0" length="12"/>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B9" dT="2025-05-09T07:47:32.39" personId="{3A227CF0-A66C-4F81-A433-9169F99AA6A1}" id="{F1A3BAEF-4CD0-4CF5-AC60-E42D2B6A097D}">
    <text xml:space="preserve">@Arnold Jonathan Ayeny </text>
    <mentions>
      <mention mentionpersonId="{447EE4AB-AD74-478B-B2D5-C56D67927301}" mentionId="{FC16A423-963E-401B-80FA-B387A8617CA8}" startIndex="0" length="22"/>
    </mentions>
  </threadedComment>
  <threadedComment ref="B15" dT="2025-05-09T07:47:55.85" personId="{3A227CF0-A66C-4F81-A433-9169F99AA6A1}" id="{C358D54C-F94D-418C-944F-C07955D1113C}">
    <text xml:space="preserve">@Arnold Jonathan Ayeny </text>
    <mentions>
      <mention mentionpersonId="{447EE4AB-AD74-478B-B2D5-C56D67927301}" mentionId="{4F537017-0AED-450A-A099-93D52A81ECDF}" startIndex="0" length="22"/>
    </mentions>
  </threadedComment>
  <threadedComment ref="B25" dT="2025-05-09T07:43:26.36" personId="{3A227CF0-A66C-4F81-A433-9169F99AA6A1}" id="{8A5F413B-2E57-4B62-A614-373D252E0E83}">
    <text>@Carl Ngaira ,please update this section</text>
    <mentions>
      <mention mentionpersonId="{A74ECD8B-0B86-422E-BA32-315A6430EA7D}" mentionId="{D2B0F973-43D5-41A3-8421-161DAEE5B641}" startIndex="0" length="12"/>
    </mentions>
  </threadedComment>
  <threadedComment ref="B40" dT="2025-05-09T07:42:01.59" personId="{3A227CF0-A66C-4F81-A433-9169F99AA6A1}" id="{6E7DACE7-C083-4722-87E2-9711EBF0FF22}">
    <text xml:space="preserve">@Arnold Jonathan Ayeny, please complete this </text>
    <mentions>
      <mention mentionpersonId="{447EE4AB-AD74-478B-B2D5-C56D67927301}" mentionId="{9E84559D-5222-4627-813C-F8878B3BFEFD}" startIndex="0" length="22"/>
    </mentions>
  </threadedComment>
  <threadedComment ref="B48" dT="2025-05-09T07:48:49.86" personId="{3A227CF0-A66C-4F81-A433-9169F99AA6A1}" id="{222985D7-E104-4FFD-B95B-CFEA014622FD}">
    <text xml:space="preserve">@Mary Kisaka, please update this section </text>
    <mentions>
      <mention mentionpersonId="{4A1F6138-FC36-4226-A116-0FDB43CBBCF8}" mentionId="{0902E2BD-83F4-4252-A8D3-2D8A45F7AA66}" startIndex="0" length="12"/>
    </mentions>
  </threadedComment>
  <threadedComment ref="B48" dT="2025-05-09T08:47:35.35" personId="{FFD1094C-2D5E-439B-953D-C3D940AFC34F}" id="{A4C09350-8231-45B0-8C64-F6723DEC075C}" parentId="{222985D7-E104-4FFD-B95B-CFEA014622FD}">
    <text>Done</text>
  </threadedComment>
  <threadedComment ref="B55" dT="2025-05-09T07:46:03.81" personId="{3A227CF0-A66C-4F81-A433-9169F99AA6A1}" id="{2B7D8E3E-0203-4527-81E2-1C73B2194CCB}">
    <text xml:space="preserve">@Isaac Chibole </text>
    <mentions>
      <mention mentionpersonId="{47CC5395-1002-49E5-9DEE-2136F11C7A2F}" mentionId="{532E985C-19D9-458E-8F0B-74D2DEEBAA7A}" startIndex="0" length="14"/>
    </mentions>
  </threadedComment>
  <threadedComment ref="B58" dT="2025-05-09T07:41:34.48" personId="{3A227CF0-A66C-4F81-A433-9169F99AA6A1}" id="{D291FF95-4D11-4A8D-AB7F-3F4D25F28E70}">
    <text>@Ian Munga please complete this row</text>
    <mentions>
      <mention mentionpersonId="{8FA9A0D4-85C1-4F23-B9FE-569A41364F19}" mentionId="{15D9E484-472F-4FB7-9112-7C8BB4C7BBA6}" startIndex="0" length="1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B28" dT="2025-05-09T07:45:20.67" personId="{3A227CF0-A66C-4F81-A433-9169F99AA6A1}" id="{51CD031E-FD7A-4293-BF9B-019EDEF5BDA0}">
    <text xml:space="preserve">@Arnold Jonathan Ayeny </text>
    <mentions>
      <mention mentionpersonId="{447EE4AB-AD74-478B-B2D5-C56D67927301}" mentionId="{21002AFF-8576-4E1B-9BDD-AD95E53CDA31}" startIndex="0" length="22"/>
    </mentions>
  </threadedComment>
  <threadedComment ref="B74" dT="2025-05-09T07:44:24.83" personId="{3A227CF0-A66C-4F81-A433-9169F99AA6A1}" id="{9A693DBE-E541-424E-91DA-3F3AA6792D63}">
    <text xml:space="preserve">@Carl Ngaira </text>
    <mentions>
      <mention mentionpersonId="{A74ECD8B-0B86-422E-BA32-315A6430EA7D}" mentionId="{1B56BE54-85AA-4550-BDEC-AF02347AFF02}" startIndex="0" length="12"/>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_rels/sheet3.xml.rels><?xml version="1.0" encoding="UTF-8" standalone="yes"?>
<Relationships xmlns="http://schemas.openxmlformats.org/package/2006/relationships"><Relationship Id="rId8" Type="http://schemas.openxmlformats.org/officeDocument/2006/relationships/hyperlink" Target="http://www.cicores.com/" TargetMode="External"/><Relationship Id="rId13" Type="http://schemas.openxmlformats.org/officeDocument/2006/relationships/hyperlink" Target="https://ceeez.org/" TargetMode="External"/><Relationship Id="rId18" Type="http://schemas.openxmlformats.org/officeDocument/2006/relationships/hyperlink" Target="mailto:Nadia.Algera@carbontrust.com" TargetMode="External"/><Relationship Id="rId26" Type="http://schemas.openxmlformats.org/officeDocument/2006/relationships/printerSettings" Target="../printerSettings/printerSettings1.bin"/><Relationship Id="rId3" Type="http://schemas.openxmlformats.org/officeDocument/2006/relationships/hyperlink" Target="https://practicalaction.org/where-we-work/sudan/" TargetMode="External"/><Relationship Id="rId21" Type="http://schemas.openxmlformats.org/officeDocument/2006/relationships/hyperlink" Target="mailto:sarah@triangle-environmental.com" TargetMode="External"/><Relationship Id="rId7" Type="http://schemas.openxmlformats.org/officeDocument/2006/relationships/hyperlink" Target="https://csresearch.co.mz/about-us/" TargetMode="External"/><Relationship Id="rId12" Type="http://schemas.openxmlformats.org/officeDocument/2006/relationships/hyperlink" Target="http://www.gbfund.org/" TargetMode="External"/><Relationship Id="rId17" Type="http://schemas.openxmlformats.org/officeDocument/2006/relationships/hyperlink" Target="mailto:Nadia.Algera@carbontrust.com" TargetMode="External"/><Relationship Id="rId25" Type="http://schemas.openxmlformats.org/officeDocument/2006/relationships/hyperlink" Target="mailto:mbrown@envicomcorporation.com" TargetMode="External"/><Relationship Id="rId2" Type="http://schemas.openxmlformats.org/officeDocument/2006/relationships/hyperlink" Target="mailto:info@ergethio.com" TargetMode="External"/><Relationship Id="rId16" Type="http://schemas.openxmlformats.org/officeDocument/2006/relationships/hyperlink" Target="mailto:mjohnson@berkeleyair.com" TargetMode="External"/><Relationship Id="rId20" Type="http://schemas.openxmlformats.org/officeDocument/2006/relationships/hyperlink" Target="mailto:bora.akpinar@mrc-tr.com" TargetMode="External"/><Relationship Id="rId29" Type="http://schemas.microsoft.com/office/2017/10/relationships/threadedComment" Target="../threadedComments/threadedComment3.xml"/><Relationship Id="rId1" Type="http://schemas.openxmlformats.org/officeDocument/2006/relationships/hyperlink" Target="https://www.ergethio.com/about.html" TargetMode="External"/><Relationship Id="rId6" Type="http://schemas.openxmlformats.org/officeDocument/2006/relationships/hyperlink" Target="https://www.busaracenter.org/" TargetMode="External"/><Relationship Id="rId11" Type="http://schemas.openxmlformats.org/officeDocument/2006/relationships/hyperlink" Target="https://cleanenergy4africa.org/" TargetMode="External"/><Relationship Id="rId24" Type="http://schemas.openxmlformats.org/officeDocument/2006/relationships/hyperlink" Target="https://newclimate.org/" TargetMode="External"/><Relationship Id="rId5" Type="http://schemas.openxmlformats.org/officeDocument/2006/relationships/hyperlink" Target="mailto:partnerships@busaracenter.org" TargetMode="External"/><Relationship Id="rId15" Type="http://schemas.openxmlformats.org/officeDocument/2006/relationships/hyperlink" Target="https://algumafricacapital.com/" TargetMode="External"/><Relationship Id="rId23" Type="http://schemas.openxmlformats.org/officeDocument/2006/relationships/hyperlink" Target="mailto:l.kahlen@newclimate.org" TargetMode="External"/><Relationship Id="rId28" Type="http://schemas.openxmlformats.org/officeDocument/2006/relationships/comments" Target="../comments3.xml"/><Relationship Id="rId10" Type="http://schemas.openxmlformats.org/officeDocument/2006/relationships/hyperlink" Target="mailto:mohamed.alhaj@cleanenergy4africa.org" TargetMode="External"/><Relationship Id="rId19" Type="http://schemas.openxmlformats.org/officeDocument/2006/relationships/hyperlink" Target="mailto:vnkirote@verst.earth" TargetMode="External"/><Relationship Id="rId4" Type="http://schemas.openxmlformats.org/officeDocument/2006/relationships/hyperlink" Target="mailto:info@practicalactionsd.org" TargetMode="External"/><Relationship Id="rId9" Type="http://schemas.openxmlformats.org/officeDocument/2006/relationships/hyperlink" Target="mailto:baba.sylla@cicores.com" TargetMode="External"/><Relationship Id="rId14" Type="http://schemas.openxmlformats.org/officeDocument/2006/relationships/hyperlink" Target="mailto:bkiarie@algumafricacapital.com" TargetMode="External"/><Relationship Id="rId22" Type="http://schemas.openxmlformats.org/officeDocument/2006/relationships/hyperlink" Target="mailto:esther.zulu@prs.org.zm" TargetMode="External"/><Relationship Id="rId27" Type="http://schemas.openxmlformats.org/officeDocument/2006/relationships/vmlDrawing" Target="../drawings/vmlDrawing3.vml"/><Relationship Id="rId30" Type="http://schemas.microsoft.com/office/2019/04/relationships/documenttask" Target="../documenttasks/documenttask3.xml"/></Relationships>
</file>

<file path=xl/worksheets/_rels/sheet4.xml.rels><?xml version="1.0" encoding="UTF-8" standalone="yes"?>
<Relationships xmlns="http://schemas.openxmlformats.org/package/2006/relationships"><Relationship Id="rId8" Type="http://schemas.openxmlformats.org/officeDocument/2006/relationships/hyperlink" Target="mailto:kimani.maurice@gmail.com" TargetMode="External"/><Relationship Id="rId13" Type="http://schemas.openxmlformats.org/officeDocument/2006/relationships/hyperlink" Target="mailto:davekelo@gmail.com" TargetMode="External"/><Relationship Id="rId18" Type="http://schemas.openxmlformats.org/officeDocument/2006/relationships/hyperlink" Target="mailto:clarice.wambua@cdhlegal.com" TargetMode="External"/><Relationship Id="rId3" Type="http://schemas.openxmlformats.org/officeDocument/2006/relationships/hyperlink" Target="mailto:carojt@yahoo.com" TargetMode="External"/><Relationship Id="rId21" Type="http://schemas.openxmlformats.org/officeDocument/2006/relationships/printerSettings" Target="../printerSettings/printerSettings2.bin"/><Relationship Id="rId7" Type="http://schemas.openxmlformats.org/officeDocument/2006/relationships/hyperlink" Target="mailto:fredtuhairwe@gmail.com" TargetMode="External"/><Relationship Id="rId12" Type="http://schemas.openxmlformats.org/officeDocument/2006/relationships/hyperlink" Target="mailto:foloonyang@gmail.com" TargetMode="External"/><Relationship Id="rId17" Type="http://schemas.openxmlformats.org/officeDocument/2006/relationships/hyperlink" Target="mailto:diana.ochieng@gmail.com" TargetMode="External"/><Relationship Id="rId25" Type="http://schemas.microsoft.com/office/2019/04/relationships/documenttask" Target="../documenttasks/documenttask4.xml"/><Relationship Id="rId2" Type="http://schemas.openxmlformats.org/officeDocument/2006/relationships/hyperlink" Target="mailto:vincentwere@gmail.com/vwere@wellcome.org" TargetMode="External"/><Relationship Id="rId16" Type="http://schemas.openxmlformats.org/officeDocument/2006/relationships/hyperlink" Target="mailto:nyukuri.e@gmail.com" TargetMode="External"/><Relationship Id="rId20" Type="http://schemas.openxmlformats.org/officeDocument/2006/relationships/hyperlink" Target="mailto:miyirmed@gmail.com" TargetMode="External"/><Relationship Id="rId1" Type="http://schemas.openxmlformats.org/officeDocument/2006/relationships/hyperlink" Target="mailto:dndenga@miltec.co.ke" TargetMode="External"/><Relationship Id="rId6" Type="http://schemas.openxmlformats.org/officeDocument/2006/relationships/hyperlink" Target="mailto:hilawe.LT@gmail.com" TargetMode="External"/><Relationship Id="rId11" Type="http://schemas.openxmlformats.org/officeDocument/2006/relationships/hyperlink" Target="mailto:mohamed.alhaj@cleanenergy4africa.org" TargetMode="External"/><Relationship Id="rId24" Type="http://schemas.microsoft.com/office/2017/10/relationships/threadedComment" Target="../threadedComments/threadedComment4.xml"/><Relationship Id="rId5" Type="http://schemas.openxmlformats.org/officeDocument/2006/relationships/hyperlink" Target="mailto:mlanjenijoshua@gmail.com" TargetMode="External"/><Relationship Id="rId15" Type="http://schemas.openxmlformats.org/officeDocument/2006/relationships/hyperlink" Target="mailto:jobmuthini@gmail.com" TargetMode="External"/><Relationship Id="rId23" Type="http://schemas.openxmlformats.org/officeDocument/2006/relationships/comments" Target="../comments4.xml"/><Relationship Id="rId10" Type="http://schemas.openxmlformats.org/officeDocument/2006/relationships/hyperlink" Target="mailto:maryam.garelnabi@gmail.com" TargetMode="External"/><Relationship Id="rId19" Type="http://schemas.openxmlformats.org/officeDocument/2006/relationships/hyperlink" Target="mailto:bkiarie@algumafricacapital.com" TargetMode="External"/><Relationship Id="rId4" Type="http://schemas.openxmlformats.org/officeDocument/2006/relationships/hyperlink" Target="mailto:lawrencemashungu@gmail.co" TargetMode="External"/><Relationship Id="rId9" Type="http://schemas.openxmlformats.org/officeDocument/2006/relationships/hyperlink" Target="mailto:grantnj2@gmail.com" TargetMode="External"/><Relationship Id="rId14" Type="http://schemas.openxmlformats.org/officeDocument/2006/relationships/hyperlink" Target="mailto:lucilleonyango@gmail.com" TargetMode="External"/><Relationship Id="rId2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08F4A-4F7B-4D00-B2B1-5D1E4C2AF094}">
  <dimension ref="A1:V78"/>
  <sheetViews>
    <sheetView showGridLines="0" topLeftCell="A49" workbookViewId="0">
      <selection activeCell="V76" sqref="V76"/>
    </sheetView>
  </sheetViews>
  <sheetFormatPr defaultColWidth="47.54296875" defaultRowHeight="13" customHeight="1" x14ac:dyDescent="0.25"/>
  <cols>
    <col min="1" max="1" width="9.36328125" style="53" customWidth="1"/>
    <col min="2" max="2" width="8.54296875" style="53" customWidth="1"/>
    <col min="3" max="3" width="6.54296875" style="53" customWidth="1"/>
    <col min="4" max="4" width="30.26953125" style="53" customWidth="1"/>
    <col min="5" max="5" width="33.54296875" style="53" customWidth="1"/>
    <col min="6" max="6" width="71.54296875" style="57" customWidth="1"/>
    <col min="7" max="7" width="15.453125" style="53" customWidth="1"/>
    <col min="8" max="8" width="16.453125" style="53" customWidth="1"/>
    <col min="9" max="9" width="18.26953125" style="53" customWidth="1"/>
    <col min="10" max="12" width="15.453125" style="53" customWidth="1"/>
    <col min="13" max="13" width="15.453125" style="67" customWidth="1"/>
    <col min="14" max="16" width="15.453125" style="53" customWidth="1"/>
    <col min="17" max="17" width="16.54296875" style="53" customWidth="1"/>
    <col min="18" max="19" width="15.453125" style="53" customWidth="1"/>
    <col min="20" max="20" width="20.1796875" style="53" customWidth="1"/>
    <col min="21" max="21" width="15.453125" style="53" customWidth="1"/>
    <col min="22" max="22" width="16.7265625" style="53" customWidth="1"/>
    <col min="23" max="16384" width="47.54296875" style="53"/>
  </cols>
  <sheetData>
    <row r="1" spans="1:22" s="60" customFormat="1" ht="13" customHeight="1" x14ac:dyDescent="0.25">
      <c r="A1" s="45" t="s">
        <v>0</v>
      </c>
      <c r="B1" s="45" t="s">
        <v>514</v>
      </c>
      <c r="C1" s="45" t="s">
        <v>1</v>
      </c>
      <c r="D1" s="59" t="s">
        <v>2</v>
      </c>
      <c r="E1" s="46" t="s">
        <v>3</v>
      </c>
      <c r="F1" s="46" t="s">
        <v>4</v>
      </c>
      <c r="G1" s="46" t="s">
        <v>5</v>
      </c>
      <c r="H1" s="46" t="s">
        <v>6</v>
      </c>
      <c r="I1" s="46" t="s">
        <v>7</v>
      </c>
      <c r="J1" s="46" t="s">
        <v>511</v>
      </c>
      <c r="K1" s="46" t="s">
        <v>8</v>
      </c>
      <c r="L1" s="46" t="s">
        <v>512</v>
      </c>
      <c r="M1" s="46" t="s">
        <v>9</v>
      </c>
      <c r="N1" s="46" t="s">
        <v>10</v>
      </c>
      <c r="O1" s="46" t="s">
        <v>513</v>
      </c>
      <c r="P1" s="46" t="s">
        <v>12</v>
      </c>
      <c r="Q1" s="46" t="s">
        <v>13</v>
      </c>
      <c r="R1" s="46" t="s">
        <v>14</v>
      </c>
      <c r="S1" s="47" t="s">
        <v>15</v>
      </c>
      <c r="T1" s="49" t="s">
        <v>17</v>
      </c>
      <c r="U1" s="49" t="s">
        <v>516</v>
      </c>
      <c r="V1" s="49" t="s">
        <v>18</v>
      </c>
    </row>
    <row r="2" spans="1:22" s="1" customFormat="1" ht="13" customHeight="1" x14ac:dyDescent="0.35">
      <c r="A2" s="102" cm="1">
        <f t="array" ref="A2:A78">_xlfn.SEQUENCE(COUNTA(B:B)-1)</f>
        <v>1</v>
      </c>
      <c r="B2" s="102">
        <v>2025</v>
      </c>
      <c r="C2" s="119" t="s">
        <v>76</v>
      </c>
      <c r="D2" s="101" t="s">
        <v>19</v>
      </c>
      <c r="E2" s="101" t="s">
        <v>20</v>
      </c>
      <c r="F2" s="103" t="s">
        <v>646</v>
      </c>
      <c r="G2" s="101" t="s">
        <v>21</v>
      </c>
      <c r="H2" s="103" t="s">
        <v>44</v>
      </c>
      <c r="I2" s="101" t="s">
        <v>23</v>
      </c>
      <c r="J2" s="103" t="s">
        <v>647</v>
      </c>
      <c r="K2" s="104" t="s">
        <v>25</v>
      </c>
      <c r="L2" s="104" t="s">
        <v>25</v>
      </c>
      <c r="M2" s="105">
        <v>45684</v>
      </c>
      <c r="N2" s="101" t="s">
        <v>35</v>
      </c>
      <c r="O2" s="101" t="s">
        <v>36</v>
      </c>
      <c r="P2" s="101"/>
      <c r="Q2" s="103" t="s">
        <v>72</v>
      </c>
      <c r="R2" s="101" t="s">
        <v>36</v>
      </c>
      <c r="S2" s="101" t="s">
        <v>41</v>
      </c>
      <c r="T2" s="101" t="s">
        <v>29</v>
      </c>
      <c r="U2" s="101">
        <v>7</v>
      </c>
    </row>
    <row r="3" spans="1:22" s="1" customFormat="1" ht="13" customHeight="1" x14ac:dyDescent="0.35">
      <c r="A3" s="102">
        <v>2</v>
      </c>
      <c r="B3" s="102">
        <v>2025</v>
      </c>
      <c r="C3" s="119" t="s">
        <v>76</v>
      </c>
      <c r="D3" s="101" t="s">
        <v>19</v>
      </c>
      <c r="E3" s="101" t="s">
        <v>42</v>
      </c>
      <c r="F3" s="103" t="s">
        <v>648</v>
      </c>
      <c r="G3" s="101" t="s">
        <v>21</v>
      </c>
      <c r="H3" s="103" t="s">
        <v>40</v>
      </c>
      <c r="I3" s="101" t="s">
        <v>23</v>
      </c>
      <c r="J3" s="101" t="s">
        <v>649</v>
      </c>
      <c r="K3" s="104" t="s">
        <v>77</v>
      </c>
      <c r="L3" s="106" t="s">
        <v>650</v>
      </c>
      <c r="M3" s="105">
        <v>45709</v>
      </c>
      <c r="N3" s="101" t="s">
        <v>35</v>
      </c>
      <c r="O3" s="101"/>
      <c r="P3" s="101" t="s">
        <v>54</v>
      </c>
      <c r="Q3" s="101"/>
      <c r="R3" s="101" t="s">
        <v>47</v>
      </c>
      <c r="S3" s="101" t="s">
        <v>78</v>
      </c>
      <c r="T3" s="101" t="s">
        <v>49</v>
      </c>
      <c r="U3" s="101"/>
    </row>
    <row r="4" spans="1:22" s="1" customFormat="1" ht="13" customHeight="1" x14ac:dyDescent="0.35">
      <c r="A4" s="102">
        <v>3</v>
      </c>
      <c r="B4" s="102">
        <v>2025</v>
      </c>
      <c r="C4" s="119" t="s">
        <v>76</v>
      </c>
      <c r="D4" s="101" t="s">
        <v>55</v>
      </c>
      <c r="E4" s="101" t="s">
        <v>651</v>
      </c>
      <c r="F4" s="103" t="s">
        <v>652</v>
      </c>
      <c r="G4" s="101" t="s">
        <v>21</v>
      </c>
      <c r="H4" s="103" t="s">
        <v>22</v>
      </c>
      <c r="I4" s="101" t="s">
        <v>23</v>
      </c>
      <c r="J4" s="101" t="s">
        <v>653</v>
      </c>
      <c r="K4" s="104" t="s">
        <v>77</v>
      </c>
      <c r="L4" s="106" t="s">
        <v>650</v>
      </c>
      <c r="M4" s="105">
        <v>45663</v>
      </c>
      <c r="N4" s="101"/>
      <c r="O4" s="101"/>
      <c r="P4" s="101"/>
      <c r="Q4" s="101"/>
      <c r="R4" s="101" t="s">
        <v>78</v>
      </c>
      <c r="S4" s="101" t="s">
        <v>54</v>
      </c>
      <c r="T4" s="101" t="s">
        <v>49</v>
      </c>
      <c r="U4" s="101">
        <v>12</v>
      </c>
    </row>
    <row r="5" spans="1:22" s="1" customFormat="1" ht="13" customHeight="1" x14ac:dyDescent="0.35">
      <c r="A5" s="102">
        <v>4</v>
      </c>
      <c r="B5" s="102">
        <v>2025</v>
      </c>
      <c r="C5" s="119" t="s">
        <v>76</v>
      </c>
      <c r="D5" s="101" t="s">
        <v>63</v>
      </c>
      <c r="E5" s="101" t="s">
        <v>654</v>
      </c>
      <c r="F5" s="103" t="s">
        <v>655</v>
      </c>
      <c r="G5" s="101" t="s">
        <v>79</v>
      </c>
      <c r="H5" s="103" t="s">
        <v>80</v>
      </c>
      <c r="I5" s="101" t="s">
        <v>62</v>
      </c>
      <c r="J5" s="101" t="s">
        <v>81</v>
      </c>
      <c r="K5" s="104" t="s">
        <v>77</v>
      </c>
      <c r="L5" s="106" t="s">
        <v>650</v>
      </c>
      <c r="M5" s="105">
        <v>45701</v>
      </c>
      <c r="N5" s="101" t="s">
        <v>48</v>
      </c>
      <c r="O5" s="101"/>
      <c r="P5" s="101"/>
      <c r="Q5" s="101"/>
      <c r="R5" s="101" t="s">
        <v>78</v>
      </c>
      <c r="S5" s="101"/>
      <c r="T5" s="101" t="s">
        <v>49</v>
      </c>
      <c r="U5" s="101"/>
    </row>
    <row r="6" spans="1:22" s="1" customFormat="1" ht="13" customHeight="1" x14ac:dyDescent="0.25">
      <c r="A6" s="102">
        <v>5</v>
      </c>
      <c r="B6" s="102">
        <v>2025</v>
      </c>
      <c r="C6" s="119" t="s">
        <v>76</v>
      </c>
      <c r="D6" s="101" t="s">
        <v>30</v>
      </c>
      <c r="E6" s="101" t="s">
        <v>656</v>
      </c>
      <c r="F6" s="53" t="s">
        <v>657</v>
      </c>
      <c r="G6" s="101" t="s">
        <v>74</v>
      </c>
      <c r="H6" s="103" t="s">
        <v>44</v>
      </c>
      <c r="I6" s="101" t="s">
        <v>62</v>
      </c>
      <c r="J6" s="101" t="s">
        <v>24</v>
      </c>
      <c r="K6" s="104" t="s">
        <v>58</v>
      </c>
      <c r="L6" s="106"/>
      <c r="M6" s="105">
        <v>45747</v>
      </c>
      <c r="N6" s="101" t="s">
        <v>59</v>
      </c>
      <c r="O6" s="101" t="s">
        <v>59</v>
      </c>
      <c r="P6" s="101"/>
      <c r="Q6" s="101"/>
      <c r="R6" s="101" t="s">
        <v>59</v>
      </c>
      <c r="S6" s="101" t="s">
        <v>28</v>
      </c>
      <c r="T6" s="101" t="s">
        <v>70</v>
      </c>
      <c r="U6" s="101"/>
    </row>
    <row r="7" spans="1:22" s="1" customFormat="1" ht="13" customHeight="1" x14ac:dyDescent="0.35">
      <c r="A7" s="102">
        <v>6</v>
      </c>
      <c r="B7" s="102">
        <v>2025</v>
      </c>
      <c r="C7" s="119" t="s">
        <v>76</v>
      </c>
      <c r="D7" s="101" t="s">
        <v>55</v>
      </c>
      <c r="E7" s="101" t="s">
        <v>658</v>
      </c>
      <c r="F7" s="103" t="s">
        <v>659</v>
      </c>
      <c r="G7" s="101" t="s">
        <v>56</v>
      </c>
      <c r="H7" s="103" t="s">
        <v>51</v>
      </c>
      <c r="I7" s="101" t="s">
        <v>23</v>
      </c>
      <c r="J7" s="101" t="s">
        <v>24</v>
      </c>
      <c r="K7" s="104" t="s">
        <v>25</v>
      </c>
      <c r="L7" s="106"/>
      <c r="M7" s="105">
        <v>45670</v>
      </c>
      <c r="N7" s="101"/>
      <c r="O7" s="101"/>
      <c r="P7" s="101"/>
      <c r="Q7" s="101"/>
      <c r="R7" s="101" t="s">
        <v>61</v>
      </c>
      <c r="S7" s="101" t="s">
        <v>82</v>
      </c>
      <c r="T7" s="101" t="s">
        <v>70</v>
      </c>
      <c r="U7" s="101"/>
    </row>
    <row r="8" spans="1:22" s="1" customFormat="1" ht="13" customHeight="1" x14ac:dyDescent="0.35">
      <c r="A8" s="102">
        <v>7</v>
      </c>
      <c r="B8" s="102">
        <v>2025</v>
      </c>
      <c r="C8" s="119" t="s">
        <v>76</v>
      </c>
      <c r="D8" s="101" t="s">
        <v>83</v>
      </c>
      <c r="E8" s="101" t="s">
        <v>660</v>
      </c>
      <c r="F8" s="103" t="s">
        <v>661</v>
      </c>
      <c r="G8" s="101" t="s">
        <v>34</v>
      </c>
      <c r="H8" s="103" t="s">
        <v>84</v>
      </c>
      <c r="I8" s="101" t="s">
        <v>23</v>
      </c>
      <c r="J8" s="101" t="s">
        <v>24</v>
      </c>
      <c r="K8" s="104" t="s">
        <v>85</v>
      </c>
      <c r="L8" s="106"/>
      <c r="M8" s="101"/>
      <c r="N8" s="101" t="s">
        <v>35</v>
      </c>
      <c r="O8" s="101"/>
      <c r="P8" s="101"/>
      <c r="Q8" s="107" t="s">
        <v>86</v>
      </c>
      <c r="R8" s="101" t="s">
        <v>35</v>
      </c>
      <c r="S8" s="101" t="s">
        <v>54</v>
      </c>
      <c r="T8" s="101" t="s">
        <v>70</v>
      </c>
      <c r="U8" s="101"/>
    </row>
    <row r="9" spans="1:22" s="1" customFormat="1" ht="13" customHeight="1" x14ac:dyDescent="0.35">
      <c r="A9" s="102">
        <v>8</v>
      </c>
      <c r="B9" s="102">
        <v>2025</v>
      </c>
      <c r="C9" s="119" t="s">
        <v>87</v>
      </c>
      <c r="D9" s="108" t="s">
        <v>19</v>
      </c>
      <c r="E9" s="101" t="s">
        <v>20</v>
      </c>
      <c r="F9" s="103" t="s">
        <v>662</v>
      </c>
      <c r="G9" s="101" t="s">
        <v>21</v>
      </c>
      <c r="H9" s="103"/>
      <c r="I9" s="101" t="s">
        <v>23</v>
      </c>
      <c r="J9" s="101" t="s">
        <v>88</v>
      </c>
      <c r="K9" s="104" t="s">
        <v>25</v>
      </c>
      <c r="L9" s="106"/>
      <c r="M9" s="105">
        <v>45771</v>
      </c>
      <c r="N9" s="101" t="s">
        <v>35</v>
      </c>
      <c r="O9" s="101" t="s">
        <v>36</v>
      </c>
      <c r="P9" s="101"/>
      <c r="Q9" s="101" t="s">
        <v>663</v>
      </c>
      <c r="R9" s="101" t="s">
        <v>36</v>
      </c>
      <c r="S9" s="101" t="s">
        <v>28</v>
      </c>
      <c r="T9" s="101" t="s">
        <v>38</v>
      </c>
      <c r="U9" s="101"/>
    </row>
    <row r="10" spans="1:22" s="1" customFormat="1" ht="13" customHeight="1" x14ac:dyDescent="0.35">
      <c r="A10" s="102">
        <v>9</v>
      </c>
      <c r="B10" s="102">
        <v>2025</v>
      </c>
      <c r="C10" s="119" t="s">
        <v>87</v>
      </c>
      <c r="D10" s="108" t="s">
        <v>19</v>
      </c>
      <c r="E10" s="101" t="s">
        <v>664</v>
      </c>
      <c r="F10" s="103" t="s">
        <v>665</v>
      </c>
      <c r="G10" s="101" t="s">
        <v>34</v>
      </c>
      <c r="H10" s="103" t="s">
        <v>44</v>
      </c>
      <c r="I10" s="101" t="s">
        <v>23</v>
      </c>
      <c r="J10" s="103" t="s">
        <v>666</v>
      </c>
      <c r="K10" s="104" t="s">
        <v>58</v>
      </c>
      <c r="L10" s="106" t="s">
        <v>650</v>
      </c>
      <c r="M10" s="105">
        <v>45761</v>
      </c>
      <c r="N10" s="101" t="s">
        <v>48</v>
      </c>
      <c r="O10" s="101"/>
      <c r="P10" s="101"/>
      <c r="Q10" s="101" t="s">
        <v>667</v>
      </c>
      <c r="R10" s="101" t="s">
        <v>47</v>
      </c>
      <c r="S10" s="101" t="s">
        <v>28</v>
      </c>
      <c r="T10" s="101" t="s">
        <v>29</v>
      </c>
      <c r="U10" s="101">
        <v>12</v>
      </c>
    </row>
    <row r="11" spans="1:22" s="2" customFormat="1" ht="13" customHeight="1" x14ac:dyDescent="0.35">
      <c r="A11" s="102">
        <v>10</v>
      </c>
      <c r="B11" s="102">
        <v>2025</v>
      </c>
      <c r="C11" s="119" t="s">
        <v>87</v>
      </c>
      <c r="D11" s="109" t="s">
        <v>19</v>
      </c>
      <c r="E11" s="103" t="s">
        <v>664</v>
      </c>
      <c r="F11" s="110" t="s">
        <v>668</v>
      </c>
      <c r="G11" s="103" t="s">
        <v>50</v>
      </c>
      <c r="H11" s="103" t="s">
        <v>80</v>
      </c>
      <c r="I11" s="103" t="s">
        <v>23</v>
      </c>
      <c r="J11" s="103" t="s">
        <v>666</v>
      </c>
      <c r="K11" s="104" t="s">
        <v>25</v>
      </c>
      <c r="L11" s="106"/>
      <c r="M11" s="111">
        <v>45771</v>
      </c>
      <c r="N11" s="103" t="s">
        <v>47</v>
      </c>
      <c r="O11" s="103" t="s">
        <v>43</v>
      </c>
      <c r="P11" s="103" t="s">
        <v>47</v>
      </c>
      <c r="Q11" s="103"/>
      <c r="R11" s="103" t="s">
        <v>43</v>
      </c>
      <c r="S11" s="103" t="s">
        <v>43</v>
      </c>
      <c r="T11" s="103" t="s">
        <v>70</v>
      </c>
      <c r="U11" s="103">
        <v>24</v>
      </c>
    </row>
    <row r="12" spans="1:22" s="1" customFormat="1" ht="13" customHeight="1" x14ac:dyDescent="0.35">
      <c r="A12" s="102">
        <v>11</v>
      </c>
      <c r="B12" s="102">
        <v>2025</v>
      </c>
      <c r="C12" s="119" t="s">
        <v>87</v>
      </c>
      <c r="D12" s="108" t="s">
        <v>30</v>
      </c>
      <c r="E12" s="101" t="s">
        <v>669</v>
      </c>
      <c r="F12" s="103" t="s">
        <v>670</v>
      </c>
      <c r="G12" s="101" t="s">
        <v>21</v>
      </c>
      <c r="H12" s="103" t="s">
        <v>80</v>
      </c>
      <c r="I12" s="101" t="s">
        <v>62</v>
      </c>
      <c r="J12" s="101" t="s">
        <v>649</v>
      </c>
      <c r="K12" s="104"/>
      <c r="L12" s="106"/>
      <c r="M12" s="101"/>
      <c r="N12" s="101"/>
      <c r="O12" s="101"/>
      <c r="P12" s="101" t="s">
        <v>32</v>
      </c>
      <c r="Q12" s="101"/>
      <c r="R12" s="101" t="s">
        <v>32</v>
      </c>
      <c r="S12" s="101" t="s">
        <v>28</v>
      </c>
      <c r="T12" s="101" t="s">
        <v>49</v>
      </c>
      <c r="U12" s="101"/>
    </row>
    <row r="13" spans="1:22" s="1" customFormat="1" ht="13" customHeight="1" x14ac:dyDescent="0.35">
      <c r="A13" s="102">
        <v>12</v>
      </c>
      <c r="B13" s="102">
        <v>2025</v>
      </c>
      <c r="C13" s="119" t="s">
        <v>87</v>
      </c>
      <c r="D13" s="108" t="s">
        <v>19</v>
      </c>
      <c r="E13" s="101" t="s">
        <v>20</v>
      </c>
      <c r="F13" s="103" t="s">
        <v>671</v>
      </c>
      <c r="G13" s="101" t="s">
        <v>21</v>
      </c>
      <c r="H13" s="103" t="s">
        <v>80</v>
      </c>
      <c r="I13" s="101" t="s">
        <v>23</v>
      </c>
      <c r="J13" s="101" t="s">
        <v>672</v>
      </c>
      <c r="K13" s="104" t="s">
        <v>25</v>
      </c>
      <c r="L13" s="106"/>
      <c r="M13" s="105">
        <v>45792</v>
      </c>
      <c r="N13" s="101" t="s">
        <v>47</v>
      </c>
      <c r="O13" s="101" t="s">
        <v>48</v>
      </c>
      <c r="P13" s="101"/>
      <c r="Q13" s="101" t="s">
        <v>673</v>
      </c>
      <c r="R13" s="101" t="s">
        <v>48</v>
      </c>
      <c r="S13" s="101" t="s">
        <v>33</v>
      </c>
      <c r="T13" s="101" t="s">
        <v>70</v>
      </c>
      <c r="U13" s="101">
        <v>12</v>
      </c>
    </row>
    <row r="14" spans="1:22" s="1" customFormat="1" ht="13" customHeight="1" x14ac:dyDescent="0.35">
      <c r="A14" s="102">
        <v>13</v>
      </c>
      <c r="B14" s="102">
        <v>2025</v>
      </c>
      <c r="C14" s="119" t="s">
        <v>87</v>
      </c>
      <c r="D14" s="108" t="s">
        <v>19</v>
      </c>
      <c r="E14" s="101" t="s">
        <v>42</v>
      </c>
      <c r="F14" s="103" t="s">
        <v>674</v>
      </c>
      <c r="G14" s="101" t="s">
        <v>56</v>
      </c>
      <c r="H14" s="103" t="s">
        <v>80</v>
      </c>
      <c r="I14" s="101" t="s">
        <v>23</v>
      </c>
      <c r="J14" s="101" t="s">
        <v>675</v>
      </c>
      <c r="K14" s="104" t="s">
        <v>25</v>
      </c>
      <c r="L14" s="106"/>
      <c r="M14" s="105">
        <v>45824</v>
      </c>
      <c r="N14" s="101" t="s">
        <v>53</v>
      </c>
      <c r="O14" s="101"/>
      <c r="P14" s="101"/>
      <c r="Q14" s="101"/>
      <c r="R14" s="101" t="s">
        <v>89</v>
      </c>
      <c r="S14" s="101" t="s">
        <v>90</v>
      </c>
      <c r="T14" s="101" t="s">
        <v>29</v>
      </c>
      <c r="U14" s="101">
        <v>12</v>
      </c>
    </row>
    <row r="15" spans="1:22" s="1" customFormat="1" ht="13" customHeight="1" x14ac:dyDescent="0.35">
      <c r="A15" s="102">
        <v>14</v>
      </c>
      <c r="B15" s="102">
        <v>2025</v>
      </c>
      <c r="C15" s="119" t="s">
        <v>87</v>
      </c>
      <c r="D15" s="108" t="s">
        <v>19</v>
      </c>
      <c r="E15" s="101" t="s">
        <v>20</v>
      </c>
      <c r="F15" s="103" t="s">
        <v>676</v>
      </c>
      <c r="G15" s="101" t="s">
        <v>21</v>
      </c>
      <c r="H15" s="103" t="s">
        <v>44</v>
      </c>
      <c r="I15" s="101" t="s">
        <v>23</v>
      </c>
      <c r="J15" s="101" t="s">
        <v>91</v>
      </c>
      <c r="K15" s="104" t="s">
        <v>25</v>
      </c>
      <c r="L15" s="106" t="s">
        <v>650</v>
      </c>
      <c r="M15" s="101"/>
      <c r="N15" s="101" t="s">
        <v>92</v>
      </c>
      <c r="O15" s="101" t="s">
        <v>92</v>
      </c>
      <c r="P15" s="101" t="s">
        <v>92</v>
      </c>
      <c r="Q15" s="101" t="s">
        <v>677</v>
      </c>
      <c r="R15" s="101" t="s">
        <v>92</v>
      </c>
      <c r="S15" s="101" t="s">
        <v>90</v>
      </c>
      <c r="T15" s="101" t="s">
        <v>29</v>
      </c>
      <c r="U15" s="101"/>
    </row>
    <row r="16" spans="1:22" s="1" customFormat="1" ht="13" customHeight="1" x14ac:dyDescent="0.35">
      <c r="A16" s="102">
        <v>15</v>
      </c>
      <c r="B16" s="102">
        <v>2025</v>
      </c>
      <c r="C16" s="119" t="s">
        <v>87</v>
      </c>
      <c r="D16" s="108" t="s">
        <v>63</v>
      </c>
      <c r="E16" s="101" t="s">
        <v>64</v>
      </c>
      <c r="F16" s="103" t="s">
        <v>678</v>
      </c>
      <c r="G16" s="101" t="s">
        <v>34</v>
      </c>
      <c r="H16" s="103" t="s">
        <v>679</v>
      </c>
      <c r="I16" s="101" t="s">
        <v>23</v>
      </c>
      <c r="J16" s="101" t="s">
        <v>680</v>
      </c>
      <c r="K16" s="104" t="s">
        <v>25</v>
      </c>
      <c r="L16" s="106"/>
      <c r="M16" s="105">
        <v>45860</v>
      </c>
      <c r="N16" s="101" t="s">
        <v>47</v>
      </c>
      <c r="O16" s="101"/>
      <c r="P16" s="101"/>
      <c r="Q16" s="101"/>
      <c r="R16" s="101" t="s">
        <v>65</v>
      </c>
      <c r="S16" s="101" t="s">
        <v>33</v>
      </c>
      <c r="T16" s="101" t="s">
        <v>29</v>
      </c>
      <c r="U16" s="101"/>
    </row>
    <row r="17" spans="1:21" s="1" customFormat="1" ht="13" customHeight="1" x14ac:dyDescent="0.35">
      <c r="A17" s="102">
        <v>16</v>
      </c>
      <c r="B17" s="102">
        <v>2025</v>
      </c>
      <c r="C17" s="119" t="s">
        <v>681</v>
      </c>
      <c r="D17" s="108" t="s">
        <v>19</v>
      </c>
      <c r="E17" s="101" t="s">
        <v>20</v>
      </c>
      <c r="F17" s="103" t="s">
        <v>682</v>
      </c>
      <c r="G17" s="101" t="s">
        <v>21</v>
      </c>
      <c r="H17" s="103" t="s">
        <v>22</v>
      </c>
      <c r="I17" s="101" t="s">
        <v>23</v>
      </c>
      <c r="J17" s="101" t="s">
        <v>24</v>
      </c>
      <c r="K17" s="104" t="s">
        <v>25</v>
      </c>
      <c r="L17" s="106"/>
      <c r="M17" s="105">
        <v>45723</v>
      </c>
      <c r="N17" s="101"/>
      <c r="O17" s="101"/>
      <c r="P17" s="101"/>
      <c r="Q17" s="101" t="s">
        <v>26</v>
      </c>
      <c r="R17" s="101" t="s">
        <v>27</v>
      </c>
      <c r="S17" s="101" t="s">
        <v>28</v>
      </c>
      <c r="T17" s="101" t="s">
        <v>29</v>
      </c>
      <c r="U17" s="101"/>
    </row>
    <row r="18" spans="1:21" s="1" customFormat="1" ht="13" customHeight="1" x14ac:dyDescent="0.35">
      <c r="A18" s="102">
        <v>17</v>
      </c>
      <c r="B18" s="102">
        <v>2025</v>
      </c>
      <c r="C18" s="119" t="s">
        <v>681</v>
      </c>
      <c r="D18" s="108" t="s">
        <v>30</v>
      </c>
      <c r="E18" s="101" t="s">
        <v>683</v>
      </c>
      <c r="F18" s="103" t="s">
        <v>684</v>
      </c>
      <c r="G18" s="101" t="s">
        <v>21</v>
      </c>
      <c r="H18" s="103" t="s">
        <v>22</v>
      </c>
      <c r="I18" s="101" t="s">
        <v>23</v>
      </c>
      <c r="J18" s="101" t="s">
        <v>31</v>
      </c>
      <c r="K18" s="104"/>
      <c r="L18" s="106"/>
      <c r="M18" s="105">
        <v>45849</v>
      </c>
      <c r="N18" s="101" t="s">
        <v>32</v>
      </c>
      <c r="O18" s="101"/>
      <c r="P18" s="101" t="s">
        <v>32</v>
      </c>
      <c r="Q18" s="101"/>
      <c r="R18" s="101" t="s">
        <v>33</v>
      </c>
      <c r="S18" s="101" t="s">
        <v>28</v>
      </c>
      <c r="T18" s="101" t="s">
        <v>49</v>
      </c>
      <c r="U18" s="101">
        <v>12</v>
      </c>
    </row>
    <row r="19" spans="1:21" s="1" customFormat="1" ht="13" customHeight="1" x14ac:dyDescent="0.35">
      <c r="A19" s="102">
        <v>18</v>
      </c>
      <c r="B19" s="102">
        <v>2025</v>
      </c>
      <c r="C19" s="119" t="s">
        <v>681</v>
      </c>
      <c r="D19" s="108" t="s">
        <v>19</v>
      </c>
      <c r="E19" s="101" t="s">
        <v>20</v>
      </c>
      <c r="F19" s="103" t="s">
        <v>685</v>
      </c>
      <c r="G19" s="101" t="s">
        <v>34</v>
      </c>
      <c r="H19" s="103"/>
      <c r="I19" s="101" t="s">
        <v>23</v>
      </c>
      <c r="J19" s="101" t="s">
        <v>686</v>
      </c>
      <c r="K19" s="104" t="s">
        <v>25</v>
      </c>
      <c r="L19" s="106"/>
      <c r="M19" s="105">
        <v>45852</v>
      </c>
      <c r="N19" s="101" t="s">
        <v>35</v>
      </c>
      <c r="O19" s="101" t="s">
        <v>36</v>
      </c>
      <c r="P19" s="101"/>
      <c r="Q19" s="101"/>
      <c r="R19" s="101" t="s">
        <v>36</v>
      </c>
      <c r="S19" s="101" t="s">
        <v>37</v>
      </c>
      <c r="T19" s="101" t="s">
        <v>38</v>
      </c>
      <c r="U19" s="101"/>
    </row>
    <row r="20" spans="1:21" s="1" customFormat="1" ht="13" customHeight="1" x14ac:dyDescent="0.35">
      <c r="A20" s="102">
        <v>19</v>
      </c>
      <c r="B20" s="102">
        <v>2025</v>
      </c>
      <c r="C20" s="119" t="s">
        <v>681</v>
      </c>
      <c r="D20" s="108" t="s">
        <v>19</v>
      </c>
      <c r="E20" s="101" t="s">
        <v>20</v>
      </c>
      <c r="F20" s="103" t="s">
        <v>687</v>
      </c>
      <c r="G20" s="101" t="s">
        <v>39</v>
      </c>
      <c r="H20" s="103" t="s">
        <v>40</v>
      </c>
      <c r="I20" s="101" t="s">
        <v>23</v>
      </c>
      <c r="J20" s="101" t="s">
        <v>24</v>
      </c>
      <c r="K20" s="104"/>
      <c r="L20" s="106" t="s">
        <v>650</v>
      </c>
      <c r="M20" s="101"/>
      <c r="N20" s="101" t="s">
        <v>36</v>
      </c>
      <c r="O20" s="101"/>
      <c r="P20" s="101"/>
      <c r="Q20" s="101"/>
      <c r="R20" s="101" t="s">
        <v>36</v>
      </c>
      <c r="S20" s="101" t="s">
        <v>41</v>
      </c>
      <c r="T20" s="101" t="s">
        <v>29</v>
      </c>
      <c r="U20" s="101"/>
    </row>
    <row r="21" spans="1:21" s="1" customFormat="1" ht="13" customHeight="1" x14ac:dyDescent="0.25">
      <c r="A21" s="102">
        <v>20</v>
      </c>
      <c r="B21" s="102">
        <v>2025</v>
      </c>
      <c r="C21" s="119" t="s">
        <v>681</v>
      </c>
      <c r="D21" s="101" t="s">
        <v>19</v>
      </c>
      <c r="E21" s="101" t="s">
        <v>42</v>
      </c>
      <c r="F21" s="56" t="s">
        <v>688</v>
      </c>
      <c r="G21" s="101" t="s">
        <v>34</v>
      </c>
      <c r="H21" s="103" t="s">
        <v>40</v>
      </c>
      <c r="I21" s="101" t="s">
        <v>23</v>
      </c>
      <c r="J21" s="101" t="s">
        <v>24</v>
      </c>
      <c r="K21" s="104" t="s">
        <v>25</v>
      </c>
      <c r="L21" s="106"/>
      <c r="M21" s="105">
        <v>45855</v>
      </c>
      <c r="N21" s="101" t="s">
        <v>43</v>
      </c>
      <c r="O21" s="101"/>
      <c r="P21" s="101" t="s">
        <v>43</v>
      </c>
      <c r="Q21" s="101" t="s">
        <v>689</v>
      </c>
      <c r="R21" s="101" t="s">
        <v>43</v>
      </c>
      <c r="S21" s="101" t="s">
        <v>43</v>
      </c>
      <c r="T21" s="101" t="s">
        <v>49</v>
      </c>
      <c r="U21" s="101"/>
    </row>
    <row r="22" spans="1:21" s="1" customFormat="1" ht="13" customHeight="1" x14ac:dyDescent="0.35">
      <c r="A22" s="102">
        <v>21</v>
      </c>
      <c r="B22" s="102">
        <v>2025</v>
      </c>
      <c r="C22" s="119" t="s">
        <v>681</v>
      </c>
      <c r="D22" s="101" t="s">
        <v>19</v>
      </c>
      <c r="E22" s="101" t="s">
        <v>20</v>
      </c>
      <c r="F22" s="103" t="s">
        <v>690</v>
      </c>
      <c r="G22" s="101" t="s">
        <v>21</v>
      </c>
      <c r="H22" s="103" t="s">
        <v>44</v>
      </c>
      <c r="I22" s="101" t="s">
        <v>23</v>
      </c>
      <c r="J22" s="101" t="s">
        <v>45</v>
      </c>
      <c r="K22" s="104" t="s">
        <v>25</v>
      </c>
      <c r="L22" s="106"/>
      <c r="M22" s="105">
        <v>45875</v>
      </c>
      <c r="N22" s="101" t="s">
        <v>46</v>
      </c>
      <c r="O22" s="101" t="s">
        <v>46</v>
      </c>
      <c r="P22" s="101" t="s">
        <v>47</v>
      </c>
      <c r="Q22" s="103" t="s">
        <v>691</v>
      </c>
      <c r="R22" s="101" t="s">
        <v>48</v>
      </c>
      <c r="S22" s="101" t="s">
        <v>28</v>
      </c>
      <c r="T22" s="101" t="s">
        <v>29</v>
      </c>
      <c r="U22" s="101"/>
    </row>
    <row r="23" spans="1:21" s="1" customFormat="1" ht="13" customHeight="1" x14ac:dyDescent="0.35">
      <c r="A23" s="102">
        <v>22</v>
      </c>
      <c r="B23" s="102">
        <v>2025</v>
      </c>
      <c r="C23" s="119" t="s">
        <v>681</v>
      </c>
      <c r="D23" s="101" t="s">
        <v>19</v>
      </c>
      <c r="E23" s="101" t="s">
        <v>692</v>
      </c>
      <c r="F23" s="103" t="s">
        <v>693</v>
      </c>
      <c r="G23" s="101" t="s">
        <v>50</v>
      </c>
      <c r="H23" s="103" t="s">
        <v>51</v>
      </c>
      <c r="I23" s="101" t="s">
        <v>23</v>
      </c>
      <c r="J23" s="101" t="s">
        <v>31</v>
      </c>
      <c r="K23" s="104" t="s">
        <v>25</v>
      </c>
      <c r="L23" s="106" t="s">
        <v>650</v>
      </c>
      <c r="M23" s="105">
        <v>45915</v>
      </c>
      <c r="N23" s="101" t="s">
        <v>47</v>
      </c>
      <c r="O23" s="101" t="s">
        <v>47</v>
      </c>
      <c r="P23" s="101" t="s">
        <v>52</v>
      </c>
      <c r="Q23" s="101"/>
      <c r="R23" s="101" t="s">
        <v>47</v>
      </c>
      <c r="S23" s="101" t="s">
        <v>37</v>
      </c>
      <c r="T23" s="101" t="s">
        <v>49</v>
      </c>
      <c r="U23" s="101">
        <v>5</v>
      </c>
    </row>
    <row r="24" spans="1:21" s="1" customFormat="1" ht="13" customHeight="1" x14ac:dyDescent="0.35">
      <c r="A24" s="102">
        <v>23</v>
      </c>
      <c r="B24" s="102">
        <v>2025</v>
      </c>
      <c r="C24" s="119" t="s">
        <v>681</v>
      </c>
      <c r="D24" s="101" t="s">
        <v>19</v>
      </c>
      <c r="E24" s="101" t="s">
        <v>42</v>
      </c>
      <c r="F24" s="103" t="s">
        <v>694</v>
      </c>
      <c r="G24" s="101" t="s">
        <v>21</v>
      </c>
      <c r="H24" s="103" t="s">
        <v>40</v>
      </c>
      <c r="I24" s="101" t="s">
        <v>23</v>
      </c>
      <c r="J24" s="101" t="s">
        <v>24</v>
      </c>
      <c r="K24" s="104" t="s">
        <v>25</v>
      </c>
      <c r="L24" s="106" t="s">
        <v>650</v>
      </c>
      <c r="M24" s="105">
        <v>45914</v>
      </c>
      <c r="N24" s="101" t="s">
        <v>47</v>
      </c>
      <c r="O24" s="101" t="s">
        <v>53</v>
      </c>
      <c r="P24" s="101" t="s">
        <v>52</v>
      </c>
      <c r="Q24" s="101"/>
      <c r="R24" s="101" t="s">
        <v>47</v>
      </c>
      <c r="S24" s="101" t="s">
        <v>54</v>
      </c>
      <c r="T24" s="101" t="s">
        <v>29</v>
      </c>
      <c r="U24" s="101">
        <v>15</v>
      </c>
    </row>
    <row r="25" spans="1:21" s="1" customFormat="1" ht="13" customHeight="1" x14ac:dyDescent="0.35">
      <c r="A25" s="102">
        <v>24</v>
      </c>
      <c r="B25" s="102">
        <v>2025</v>
      </c>
      <c r="C25" s="119" t="s">
        <v>681</v>
      </c>
      <c r="D25" s="101" t="s">
        <v>55</v>
      </c>
      <c r="E25" s="101" t="s">
        <v>695</v>
      </c>
      <c r="F25" s="103" t="s">
        <v>696</v>
      </c>
      <c r="G25" s="101" t="s">
        <v>56</v>
      </c>
      <c r="H25" s="103" t="s">
        <v>22</v>
      </c>
      <c r="I25" s="101" t="s">
        <v>23</v>
      </c>
      <c r="J25" s="101" t="s">
        <v>57</v>
      </c>
      <c r="K25" s="104" t="s">
        <v>58</v>
      </c>
      <c r="L25" s="106"/>
      <c r="M25" s="105">
        <v>45904</v>
      </c>
      <c r="N25" s="101" t="s">
        <v>47</v>
      </c>
      <c r="O25" s="101"/>
      <c r="P25" s="101"/>
      <c r="Q25" s="101" t="s">
        <v>697</v>
      </c>
      <c r="R25" s="101" t="s">
        <v>59</v>
      </c>
      <c r="S25" s="101" t="s">
        <v>43</v>
      </c>
      <c r="T25" s="101" t="s">
        <v>49</v>
      </c>
      <c r="U25" s="101"/>
    </row>
    <row r="26" spans="1:21" s="1" customFormat="1" ht="13" customHeight="1" x14ac:dyDescent="0.35">
      <c r="A26" s="102">
        <v>25</v>
      </c>
      <c r="B26" s="102">
        <v>2025</v>
      </c>
      <c r="C26" s="119" t="s">
        <v>681</v>
      </c>
      <c r="D26" s="101" t="s">
        <v>19</v>
      </c>
      <c r="E26" s="101" t="s">
        <v>698</v>
      </c>
      <c r="F26" s="103" t="s">
        <v>699</v>
      </c>
      <c r="G26" s="101" t="s">
        <v>21</v>
      </c>
      <c r="H26" s="103" t="s">
        <v>44</v>
      </c>
      <c r="I26" s="101" t="s">
        <v>23</v>
      </c>
      <c r="J26" s="101" t="s">
        <v>680</v>
      </c>
      <c r="K26" s="104" t="s">
        <v>25</v>
      </c>
      <c r="L26" s="106"/>
      <c r="M26" s="105">
        <v>45903</v>
      </c>
      <c r="N26" s="101" t="s">
        <v>60</v>
      </c>
      <c r="O26" s="101"/>
      <c r="P26" s="101"/>
      <c r="Q26" s="101"/>
      <c r="R26" s="101" t="s">
        <v>61</v>
      </c>
      <c r="S26" s="101" t="s">
        <v>43</v>
      </c>
      <c r="T26" s="101" t="s">
        <v>49</v>
      </c>
      <c r="U26" s="101"/>
    </row>
    <row r="27" spans="1:21" s="1" customFormat="1" ht="13" customHeight="1" x14ac:dyDescent="0.35">
      <c r="A27" s="102">
        <v>26</v>
      </c>
      <c r="B27" s="102">
        <v>2025</v>
      </c>
      <c r="C27" s="119" t="s">
        <v>681</v>
      </c>
      <c r="D27" s="36" t="s">
        <v>19</v>
      </c>
      <c r="E27" s="36" t="s">
        <v>20</v>
      </c>
      <c r="F27" s="88" t="s">
        <v>700</v>
      </c>
      <c r="G27" s="36" t="s">
        <v>21</v>
      </c>
      <c r="H27" s="38" t="s">
        <v>22</v>
      </c>
      <c r="I27" s="36" t="s">
        <v>62</v>
      </c>
      <c r="J27" s="36" t="s">
        <v>701</v>
      </c>
      <c r="K27" s="36" t="s">
        <v>25</v>
      </c>
      <c r="M27" s="105">
        <v>45929</v>
      </c>
      <c r="N27" s="36" t="s">
        <v>53</v>
      </c>
      <c r="O27" s="36" t="s">
        <v>53</v>
      </c>
      <c r="P27" s="36"/>
      <c r="Q27" s="36" t="s">
        <v>673</v>
      </c>
      <c r="R27" s="36" t="s">
        <v>32</v>
      </c>
      <c r="S27" s="36" t="s">
        <v>28</v>
      </c>
      <c r="T27" s="36" t="s">
        <v>49</v>
      </c>
      <c r="U27" s="36">
        <v>36</v>
      </c>
    </row>
    <row r="28" spans="1:21" s="1" customFormat="1" ht="13" customHeight="1" x14ac:dyDescent="0.25">
      <c r="A28" s="102">
        <v>27</v>
      </c>
      <c r="B28" s="102">
        <v>2025</v>
      </c>
      <c r="C28" s="119" t="s">
        <v>681</v>
      </c>
      <c r="D28" s="101" t="s">
        <v>63</v>
      </c>
      <c r="E28" s="101" t="s">
        <v>64</v>
      </c>
      <c r="F28" s="103" t="s">
        <v>678</v>
      </c>
      <c r="G28" s="101" t="s">
        <v>21</v>
      </c>
      <c r="H28" s="103" t="s">
        <v>679</v>
      </c>
      <c r="I28" s="101" t="s">
        <v>23</v>
      </c>
      <c r="J28" s="101" t="s">
        <v>701</v>
      </c>
      <c r="K28" s="104" t="s">
        <v>25</v>
      </c>
      <c r="L28" s="112" t="s">
        <v>702</v>
      </c>
      <c r="M28" s="105">
        <v>45860</v>
      </c>
      <c r="N28" s="101" t="s">
        <v>47</v>
      </c>
      <c r="O28" s="101"/>
      <c r="P28" s="101"/>
      <c r="Q28" s="101"/>
      <c r="R28" s="101" t="s">
        <v>65</v>
      </c>
      <c r="S28" s="101" t="s">
        <v>33</v>
      </c>
      <c r="T28" s="101" t="s">
        <v>49</v>
      </c>
      <c r="U28" s="101"/>
    </row>
    <row r="29" spans="1:21" s="1" customFormat="1" ht="13" customHeight="1" x14ac:dyDescent="0.35">
      <c r="A29" s="102">
        <v>28</v>
      </c>
      <c r="B29" s="102">
        <v>2025</v>
      </c>
      <c r="C29" s="119" t="s">
        <v>681</v>
      </c>
      <c r="D29" s="101" t="s">
        <v>55</v>
      </c>
      <c r="E29" s="101" t="s">
        <v>20</v>
      </c>
      <c r="F29" s="103" t="s">
        <v>703</v>
      </c>
      <c r="G29" s="101" t="s">
        <v>34</v>
      </c>
      <c r="H29" s="103" t="s">
        <v>40</v>
      </c>
      <c r="I29" s="101" t="s">
        <v>23</v>
      </c>
      <c r="J29" s="101" t="s">
        <v>66</v>
      </c>
      <c r="K29" s="104" t="s">
        <v>58</v>
      </c>
      <c r="L29" s="106" t="s">
        <v>650</v>
      </c>
      <c r="M29" s="105">
        <v>45842</v>
      </c>
      <c r="N29" s="101" t="s">
        <v>47</v>
      </c>
      <c r="O29" s="101"/>
      <c r="P29" s="101" t="s">
        <v>67</v>
      </c>
      <c r="Q29" s="101" t="s">
        <v>704</v>
      </c>
      <c r="R29" s="101" t="s">
        <v>47</v>
      </c>
      <c r="S29" s="101" t="s">
        <v>28</v>
      </c>
      <c r="T29" s="101" t="s">
        <v>49</v>
      </c>
      <c r="U29" s="101"/>
    </row>
    <row r="30" spans="1:21" s="1" customFormat="1" ht="13" customHeight="1" x14ac:dyDescent="0.35">
      <c r="A30" s="102">
        <v>29</v>
      </c>
      <c r="B30" s="102">
        <v>2025</v>
      </c>
      <c r="C30" s="119" t="s">
        <v>681</v>
      </c>
      <c r="D30" s="101" t="s">
        <v>55</v>
      </c>
      <c r="E30" s="101" t="s">
        <v>20</v>
      </c>
      <c r="F30" s="103" t="s">
        <v>705</v>
      </c>
      <c r="G30" s="101" t="s">
        <v>34</v>
      </c>
      <c r="H30" s="103" t="s">
        <v>22</v>
      </c>
      <c r="I30" s="101" t="s">
        <v>23</v>
      </c>
      <c r="J30" s="101" t="s">
        <v>68</v>
      </c>
      <c r="K30" s="104" t="s">
        <v>25</v>
      </c>
      <c r="L30" s="106" t="s">
        <v>650</v>
      </c>
      <c r="M30" s="105">
        <v>45853</v>
      </c>
      <c r="N30" s="101" t="s">
        <v>47</v>
      </c>
      <c r="O30" s="101"/>
      <c r="P30" s="101"/>
      <c r="Q30" s="101" t="s">
        <v>706</v>
      </c>
      <c r="R30" s="101" t="s">
        <v>47</v>
      </c>
      <c r="S30" s="101" t="s">
        <v>47</v>
      </c>
      <c r="T30" s="101" t="s">
        <v>49</v>
      </c>
      <c r="U30" s="101"/>
    </row>
    <row r="31" spans="1:21" s="1" customFormat="1" ht="13" customHeight="1" x14ac:dyDescent="0.35">
      <c r="A31" s="102">
        <v>30</v>
      </c>
      <c r="B31" s="102">
        <v>2025</v>
      </c>
      <c r="C31" s="119" t="s">
        <v>681</v>
      </c>
      <c r="D31" s="101" t="s">
        <v>69</v>
      </c>
      <c r="E31" s="101" t="s">
        <v>707</v>
      </c>
      <c r="F31" s="103" t="s">
        <v>708</v>
      </c>
      <c r="G31" s="101" t="s">
        <v>21</v>
      </c>
      <c r="H31" s="103" t="s">
        <v>22</v>
      </c>
      <c r="I31" s="101" t="s">
        <v>62</v>
      </c>
      <c r="J31" s="1" t="s">
        <v>24</v>
      </c>
      <c r="K31" s="104" t="s">
        <v>58</v>
      </c>
      <c r="L31" s="106"/>
      <c r="M31" s="105">
        <v>45856</v>
      </c>
      <c r="N31" s="101" t="s">
        <v>47</v>
      </c>
      <c r="O31" s="101"/>
      <c r="P31" s="101"/>
      <c r="Q31" s="101" t="s">
        <v>709</v>
      </c>
      <c r="R31" s="101" t="s">
        <v>47</v>
      </c>
      <c r="S31" s="101" t="s">
        <v>33</v>
      </c>
      <c r="T31" s="101" t="s">
        <v>49</v>
      </c>
      <c r="U31" s="101"/>
    </row>
    <row r="32" spans="1:21" s="1" customFormat="1" ht="13" customHeight="1" x14ac:dyDescent="0.35">
      <c r="A32" s="102">
        <v>31</v>
      </c>
      <c r="B32" s="102">
        <v>2025</v>
      </c>
      <c r="C32" s="119" t="s">
        <v>681</v>
      </c>
      <c r="D32" s="101" t="s">
        <v>63</v>
      </c>
      <c r="E32" s="101" t="s">
        <v>710</v>
      </c>
      <c r="F32" s="103" t="s">
        <v>711</v>
      </c>
      <c r="G32" s="101" t="s">
        <v>712</v>
      </c>
      <c r="H32" s="103" t="s">
        <v>713</v>
      </c>
      <c r="I32" s="101" t="s">
        <v>104</v>
      </c>
      <c r="J32" s="1" t="s">
        <v>24</v>
      </c>
      <c r="K32" s="104" t="s">
        <v>85</v>
      </c>
      <c r="L32" s="106"/>
      <c r="M32" s="105">
        <v>45918</v>
      </c>
      <c r="N32" s="101"/>
      <c r="O32" s="101" t="s">
        <v>32</v>
      </c>
      <c r="P32" s="101" t="s">
        <v>32</v>
      </c>
      <c r="Q32" s="101" t="s">
        <v>714</v>
      </c>
      <c r="R32" s="101" t="s">
        <v>43</v>
      </c>
      <c r="S32" s="101" t="s">
        <v>54</v>
      </c>
      <c r="T32" s="101" t="s">
        <v>49</v>
      </c>
      <c r="U32" s="101"/>
    </row>
    <row r="33" spans="1:21" s="1" customFormat="1" ht="13" customHeight="1" x14ac:dyDescent="0.35">
      <c r="A33" s="102">
        <v>32</v>
      </c>
      <c r="B33" s="102">
        <v>2025</v>
      </c>
      <c r="C33" s="119" t="s">
        <v>681</v>
      </c>
      <c r="D33" s="101" t="s">
        <v>19</v>
      </c>
      <c r="E33" s="101" t="s">
        <v>698</v>
      </c>
      <c r="F33" s="103" t="s">
        <v>715</v>
      </c>
      <c r="G33" s="101" t="s">
        <v>34</v>
      </c>
      <c r="H33" s="103" t="s">
        <v>44</v>
      </c>
      <c r="I33" s="101" t="s">
        <v>23</v>
      </c>
      <c r="J33" s="101" t="s">
        <v>24</v>
      </c>
      <c r="K33" s="104" t="s">
        <v>25</v>
      </c>
      <c r="L33" s="106"/>
      <c r="M33" s="105">
        <v>45912</v>
      </c>
      <c r="N33" s="101"/>
      <c r="O33" s="101"/>
      <c r="P33" s="101"/>
      <c r="Q33" s="101"/>
      <c r="R33" s="101"/>
      <c r="S33" s="101"/>
      <c r="T33" s="101" t="s">
        <v>49</v>
      </c>
      <c r="U33" s="101"/>
    </row>
    <row r="34" spans="1:21" s="1" customFormat="1" ht="13" customHeight="1" x14ac:dyDescent="0.35">
      <c r="A34" s="102">
        <v>33</v>
      </c>
      <c r="B34" s="102">
        <v>2025</v>
      </c>
      <c r="C34" s="120" t="s">
        <v>716</v>
      </c>
      <c r="D34" s="101" t="s">
        <v>19</v>
      </c>
      <c r="E34" s="101" t="s">
        <v>20</v>
      </c>
      <c r="F34" s="101" t="s">
        <v>717</v>
      </c>
      <c r="G34" s="101"/>
      <c r="H34" s="101" t="s">
        <v>679</v>
      </c>
      <c r="I34" s="101" t="s">
        <v>23</v>
      </c>
      <c r="J34" s="101" t="s">
        <v>24</v>
      </c>
      <c r="K34" s="104" t="s">
        <v>25</v>
      </c>
      <c r="L34" s="106"/>
      <c r="M34" s="105">
        <v>45944</v>
      </c>
      <c r="N34" s="101" t="s">
        <v>36</v>
      </c>
      <c r="O34" s="101" t="s">
        <v>48</v>
      </c>
      <c r="P34" s="101"/>
      <c r="Q34" s="101"/>
      <c r="R34" s="101" t="s">
        <v>48</v>
      </c>
      <c r="S34" s="101" t="s">
        <v>43</v>
      </c>
      <c r="T34" s="101" t="s">
        <v>70</v>
      </c>
      <c r="U34" s="101"/>
    </row>
    <row r="35" spans="1:21" s="1" customFormat="1" ht="13" customHeight="1" x14ac:dyDescent="0.35">
      <c r="A35" s="102">
        <v>34</v>
      </c>
      <c r="B35" s="102">
        <v>2025</v>
      </c>
      <c r="C35" s="120" t="s">
        <v>716</v>
      </c>
      <c r="D35" s="101" t="s">
        <v>19</v>
      </c>
      <c r="E35" s="101" t="s">
        <v>42</v>
      </c>
      <c r="F35" s="101" t="s">
        <v>718</v>
      </c>
      <c r="G35" s="101" t="s">
        <v>39</v>
      </c>
      <c r="H35" s="101" t="s">
        <v>679</v>
      </c>
      <c r="I35" s="101" t="s">
        <v>23</v>
      </c>
      <c r="J35" s="101" t="s">
        <v>71</v>
      </c>
      <c r="K35" s="104"/>
      <c r="L35" s="106" t="s">
        <v>650</v>
      </c>
      <c r="M35" s="105">
        <v>45960</v>
      </c>
      <c r="N35" s="101" t="s">
        <v>46</v>
      </c>
      <c r="O35" s="101"/>
      <c r="P35" s="101"/>
      <c r="Q35" s="101" t="s">
        <v>72</v>
      </c>
      <c r="R35" s="101" t="s">
        <v>36</v>
      </c>
      <c r="S35" s="101" t="s">
        <v>54</v>
      </c>
      <c r="T35" s="101" t="s">
        <v>49</v>
      </c>
      <c r="U35" s="101">
        <v>12</v>
      </c>
    </row>
    <row r="36" spans="1:21" s="1" customFormat="1" ht="13" customHeight="1" x14ac:dyDescent="0.35">
      <c r="A36" s="102">
        <v>35</v>
      </c>
      <c r="B36" s="102">
        <v>2025</v>
      </c>
      <c r="C36" s="120" t="s">
        <v>716</v>
      </c>
      <c r="D36" s="101" t="s">
        <v>55</v>
      </c>
      <c r="E36" s="101" t="s">
        <v>73</v>
      </c>
      <c r="F36" s="103" t="s">
        <v>719</v>
      </c>
      <c r="G36" s="101" t="s">
        <v>34</v>
      </c>
      <c r="H36" s="101" t="s">
        <v>22</v>
      </c>
      <c r="I36" s="101" t="s">
        <v>23</v>
      </c>
      <c r="J36" s="101" t="s">
        <v>720</v>
      </c>
      <c r="K36" s="104" t="s">
        <v>25</v>
      </c>
      <c r="L36" s="106" t="s">
        <v>650</v>
      </c>
      <c r="M36" s="105">
        <v>45943</v>
      </c>
      <c r="N36" s="101" t="s">
        <v>47</v>
      </c>
      <c r="O36" s="101"/>
      <c r="P36" s="101"/>
      <c r="Q36" s="101"/>
      <c r="R36" s="101" t="s">
        <v>47</v>
      </c>
      <c r="S36" s="101" t="s">
        <v>52</v>
      </c>
      <c r="T36" s="101" t="s">
        <v>49</v>
      </c>
      <c r="U36" s="101"/>
    </row>
    <row r="37" spans="1:21" s="1" customFormat="1" ht="13" customHeight="1" x14ac:dyDescent="0.35">
      <c r="A37" s="102">
        <v>36</v>
      </c>
      <c r="B37" s="102">
        <v>2025</v>
      </c>
      <c r="C37" s="120" t="s">
        <v>716</v>
      </c>
      <c r="D37" s="101" t="s">
        <v>55</v>
      </c>
      <c r="E37" s="101" t="s">
        <v>721</v>
      </c>
      <c r="F37" s="103" t="s">
        <v>722</v>
      </c>
      <c r="G37" s="101" t="s">
        <v>56</v>
      </c>
      <c r="H37" s="101" t="s">
        <v>40</v>
      </c>
      <c r="I37" s="101" t="s">
        <v>23</v>
      </c>
      <c r="J37" s="101" t="s">
        <v>75</v>
      </c>
      <c r="K37" s="104" t="s">
        <v>25</v>
      </c>
      <c r="L37" s="106" t="s">
        <v>650</v>
      </c>
      <c r="M37" s="105">
        <v>45950</v>
      </c>
      <c r="N37" s="101" t="s">
        <v>47</v>
      </c>
      <c r="O37" s="101"/>
      <c r="P37" s="101"/>
      <c r="Q37" s="101"/>
      <c r="R37" s="101" t="s">
        <v>53</v>
      </c>
      <c r="S37" s="101" t="s">
        <v>52</v>
      </c>
      <c r="T37" s="101" t="s">
        <v>29</v>
      </c>
      <c r="U37" s="101">
        <v>24</v>
      </c>
    </row>
    <row r="38" spans="1:21" s="1" customFormat="1" ht="13" customHeight="1" x14ac:dyDescent="0.35">
      <c r="A38" s="102">
        <v>37</v>
      </c>
      <c r="B38" s="102">
        <v>2025</v>
      </c>
      <c r="C38" s="120" t="s">
        <v>716</v>
      </c>
      <c r="D38" s="101" t="s">
        <v>30</v>
      </c>
      <c r="E38" s="101" t="s">
        <v>723</v>
      </c>
      <c r="F38" s="103" t="s">
        <v>724</v>
      </c>
      <c r="G38" s="101" t="s">
        <v>34</v>
      </c>
      <c r="H38" s="101" t="s">
        <v>22</v>
      </c>
      <c r="I38" s="101" t="s">
        <v>23</v>
      </c>
      <c r="J38" s="101" t="s">
        <v>24</v>
      </c>
      <c r="K38" s="104" t="s">
        <v>58</v>
      </c>
      <c r="L38" s="106"/>
      <c r="M38" s="113">
        <v>45957</v>
      </c>
      <c r="N38" s="101"/>
      <c r="O38" s="101"/>
      <c r="P38" s="101"/>
      <c r="Q38" s="101"/>
      <c r="R38" s="101" t="s">
        <v>54</v>
      </c>
      <c r="S38" s="101" t="s">
        <v>37</v>
      </c>
      <c r="T38" s="101" t="s">
        <v>49</v>
      </c>
      <c r="U38" s="101"/>
    </row>
    <row r="39" spans="1:21" s="1" customFormat="1" ht="13" customHeight="1" x14ac:dyDescent="0.35">
      <c r="A39" s="102">
        <v>38</v>
      </c>
      <c r="B39" s="102">
        <v>2025</v>
      </c>
      <c r="C39" s="120" t="s">
        <v>716</v>
      </c>
      <c r="D39" s="101" t="s">
        <v>30</v>
      </c>
      <c r="E39" s="101" t="s">
        <v>723</v>
      </c>
      <c r="F39" s="103" t="s">
        <v>725</v>
      </c>
      <c r="G39" s="101" t="s">
        <v>34</v>
      </c>
      <c r="H39" s="101" t="s">
        <v>22</v>
      </c>
      <c r="I39" s="101" t="s">
        <v>23</v>
      </c>
      <c r="J39" s="101" t="s">
        <v>24</v>
      </c>
      <c r="K39" s="104" t="s">
        <v>58</v>
      </c>
      <c r="L39" s="106"/>
      <c r="M39" s="101"/>
      <c r="N39" s="101"/>
      <c r="O39" s="101"/>
      <c r="P39" s="101"/>
      <c r="Q39" s="101"/>
      <c r="R39" s="101" t="s">
        <v>54</v>
      </c>
      <c r="S39" s="101" t="s">
        <v>37</v>
      </c>
      <c r="T39" s="101" t="s">
        <v>49</v>
      </c>
      <c r="U39" s="101"/>
    </row>
    <row r="40" spans="1:21" s="1" customFormat="1" ht="13" customHeight="1" x14ac:dyDescent="0.35">
      <c r="A40" s="102">
        <v>39</v>
      </c>
      <c r="B40" s="102">
        <v>2025</v>
      </c>
      <c r="C40" s="120" t="s">
        <v>716</v>
      </c>
      <c r="D40" s="101" t="s">
        <v>55</v>
      </c>
      <c r="E40" s="101" t="s">
        <v>507</v>
      </c>
      <c r="F40" s="101" t="s">
        <v>726</v>
      </c>
      <c r="G40" s="101" t="s">
        <v>56</v>
      </c>
      <c r="H40" s="101" t="s">
        <v>22</v>
      </c>
      <c r="I40" s="101" t="s">
        <v>23</v>
      </c>
      <c r="J40" s="101" t="s">
        <v>24</v>
      </c>
      <c r="K40" s="104"/>
      <c r="L40" s="106" t="s">
        <v>650</v>
      </c>
      <c r="M40" s="105">
        <v>45981</v>
      </c>
      <c r="N40" s="101" t="s">
        <v>53</v>
      </c>
      <c r="O40" s="101"/>
      <c r="P40" s="101"/>
      <c r="Q40" s="101"/>
      <c r="R40" s="101" t="s">
        <v>53</v>
      </c>
      <c r="S40" s="101"/>
      <c r="T40" s="101" t="s">
        <v>49</v>
      </c>
      <c r="U40" s="101"/>
    </row>
    <row r="41" spans="1:21" s="1" customFormat="1" ht="13" customHeight="1" x14ac:dyDescent="0.25">
      <c r="A41" s="102">
        <v>40</v>
      </c>
      <c r="B41" s="102">
        <v>2025</v>
      </c>
      <c r="C41" s="120" t="s">
        <v>716</v>
      </c>
      <c r="D41" s="101" t="s">
        <v>55</v>
      </c>
      <c r="E41" s="101" t="s">
        <v>20</v>
      </c>
      <c r="F41" s="114" t="s">
        <v>727</v>
      </c>
      <c r="G41" s="101"/>
      <c r="H41" s="101"/>
      <c r="I41" s="101"/>
      <c r="J41" s="101"/>
      <c r="K41" s="104"/>
      <c r="L41" s="106"/>
      <c r="M41" s="101"/>
      <c r="N41" s="101"/>
      <c r="O41" s="101"/>
      <c r="P41" s="101"/>
      <c r="Q41" s="101"/>
      <c r="R41" s="101" t="s">
        <v>65</v>
      </c>
      <c r="S41" s="101" t="s">
        <v>78</v>
      </c>
      <c r="T41" s="101" t="s">
        <v>49</v>
      </c>
      <c r="U41" s="101"/>
    </row>
    <row r="42" spans="1:21" s="1" customFormat="1" ht="13" customHeight="1" x14ac:dyDescent="0.25">
      <c r="A42" s="102">
        <v>41</v>
      </c>
      <c r="B42" s="123">
        <v>2025</v>
      </c>
      <c r="C42" s="120" t="s">
        <v>716</v>
      </c>
      <c r="D42" s="101" t="s">
        <v>19</v>
      </c>
      <c r="E42" s="101" t="s">
        <v>728</v>
      </c>
      <c r="F42" s="115" t="s">
        <v>699</v>
      </c>
      <c r="G42" s="101"/>
      <c r="H42" s="101"/>
      <c r="I42" s="101"/>
      <c r="J42" s="101"/>
      <c r="K42" s="104"/>
      <c r="L42" s="106"/>
      <c r="M42" s="101"/>
      <c r="N42" s="101"/>
      <c r="O42" s="101"/>
      <c r="P42" s="101"/>
      <c r="Q42" s="101"/>
      <c r="R42" s="101" t="s">
        <v>65</v>
      </c>
      <c r="S42" s="101" t="s">
        <v>43</v>
      </c>
      <c r="T42" s="101" t="s">
        <v>49</v>
      </c>
      <c r="U42" s="101"/>
    </row>
    <row r="43" spans="1:21" s="1" customFormat="1" ht="13" customHeight="1" x14ac:dyDescent="0.35">
      <c r="A43" s="121">
        <v>42</v>
      </c>
      <c r="B43" s="124">
        <v>2025</v>
      </c>
      <c r="C43" s="125" t="s">
        <v>716</v>
      </c>
      <c r="D43" s="108" t="s">
        <v>30</v>
      </c>
      <c r="E43" s="103" t="s">
        <v>729</v>
      </c>
      <c r="F43" s="116" t="s">
        <v>730</v>
      </c>
      <c r="G43" s="101" t="s">
        <v>34</v>
      </c>
      <c r="H43" s="101" t="s">
        <v>44</v>
      </c>
      <c r="I43" s="101" t="s">
        <v>23</v>
      </c>
      <c r="J43" s="101" t="s">
        <v>731</v>
      </c>
      <c r="K43" s="104" t="s">
        <v>25</v>
      </c>
      <c r="L43" s="106"/>
      <c r="M43" s="105">
        <v>45994</v>
      </c>
      <c r="N43" s="101" t="s">
        <v>53</v>
      </c>
      <c r="O43" s="101"/>
      <c r="P43" s="101"/>
      <c r="Q43" s="101"/>
      <c r="R43" s="101" t="s">
        <v>53</v>
      </c>
      <c r="S43" s="101" t="s">
        <v>41</v>
      </c>
      <c r="T43" s="101" t="s">
        <v>49</v>
      </c>
      <c r="U43" s="101">
        <v>24</v>
      </c>
    </row>
    <row r="44" spans="1:21" s="1" customFormat="1" ht="13" customHeight="1" x14ac:dyDescent="0.35">
      <c r="A44" s="121">
        <v>43</v>
      </c>
      <c r="B44" s="124">
        <v>2025</v>
      </c>
      <c r="C44" s="125" t="s">
        <v>716</v>
      </c>
      <c r="D44" s="108" t="s">
        <v>19</v>
      </c>
      <c r="E44" s="101" t="s">
        <v>20</v>
      </c>
      <c r="F44" s="101" t="s">
        <v>732</v>
      </c>
      <c r="G44" s="101" t="s">
        <v>74</v>
      </c>
      <c r="H44" s="101" t="s">
        <v>44</v>
      </c>
      <c r="I44" s="101" t="s">
        <v>23</v>
      </c>
      <c r="J44" s="101" t="s">
        <v>733</v>
      </c>
      <c r="K44" s="104" t="s">
        <v>25</v>
      </c>
      <c r="L44" s="106"/>
      <c r="M44" s="105">
        <v>45971</v>
      </c>
      <c r="N44" s="101" t="s">
        <v>78</v>
      </c>
      <c r="O44" s="101" t="s">
        <v>65</v>
      </c>
      <c r="P44" s="101"/>
      <c r="Q44" s="101" t="s">
        <v>734</v>
      </c>
      <c r="R44" s="101" t="s">
        <v>65</v>
      </c>
      <c r="S44" s="101" t="s">
        <v>78</v>
      </c>
      <c r="T44" s="101" t="s">
        <v>49</v>
      </c>
      <c r="U44" s="101">
        <v>10</v>
      </c>
    </row>
    <row r="45" spans="1:21" s="1" customFormat="1" ht="13" customHeight="1" x14ac:dyDescent="0.35">
      <c r="A45" s="121">
        <v>44</v>
      </c>
      <c r="B45" s="124">
        <v>2025</v>
      </c>
      <c r="C45" s="125" t="s">
        <v>716</v>
      </c>
      <c r="D45" s="108" t="s">
        <v>83</v>
      </c>
      <c r="E45" s="101" t="s">
        <v>735</v>
      </c>
      <c r="F45" s="101" t="s">
        <v>736</v>
      </c>
      <c r="G45" s="101" t="s">
        <v>56</v>
      </c>
      <c r="H45" s="101" t="s">
        <v>22</v>
      </c>
      <c r="I45" s="101" t="s">
        <v>23</v>
      </c>
      <c r="J45" s="101" t="s">
        <v>737</v>
      </c>
      <c r="K45" s="104" t="s">
        <v>25</v>
      </c>
      <c r="L45" s="106"/>
      <c r="M45" s="105">
        <v>46003</v>
      </c>
      <c r="N45" s="101" t="s">
        <v>506</v>
      </c>
      <c r="O45" s="101" t="s">
        <v>37</v>
      </c>
      <c r="P45" s="101" t="s">
        <v>47</v>
      </c>
      <c r="Q45" s="103" t="s">
        <v>738</v>
      </c>
      <c r="R45" s="101" t="s">
        <v>506</v>
      </c>
      <c r="S45" s="101" t="s">
        <v>37</v>
      </c>
      <c r="T45" s="101" t="s">
        <v>49</v>
      </c>
      <c r="U45" s="101">
        <v>24</v>
      </c>
    </row>
    <row r="46" spans="1:21" s="1" customFormat="1" ht="13" customHeight="1" x14ac:dyDescent="0.35">
      <c r="A46" s="121">
        <v>45</v>
      </c>
      <c r="B46" s="124">
        <v>2025</v>
      </c>
      <c r="C46" s="125" t="s">
        <v>716</v>
      </c>
      <c r="D46" s="108" t="s">
        <v>55</v>
      </c>
      <c r="E46" s="101" t="s">
        <v>739</v>
      </c>
      <c r="F46" s="103" t="s">
        <v>740</v>
      </c>
      <c r="G46" s="101" t="s">
        <v>79</v>
      </c>
      <c r="H46" s="101" t="s">
        <v>80</v>
      </c>
      <c r="I46" s="101" t="s">
        <v>23</v>
      </c>
      <c r="J46" s="101" t="s">
        <v>45</v>
      </c>
      <c r="K46" s="104" t="s">
        <v>25</v>
      </c>
      <c r="L46" s="106"/>
      <c r="M46" s="105">
        <v>45968</v>
      </c>
      <c r="N46" s="101" t="s">
        <v>47</v>
      </c>
      <c r="O46" s="101"/>
      <c r="Q46" s="101"/>
      <c r="R46" s="101" t="s">
        <v>47</v>
      </c>
      <c r="S46" s="101" t="s">
        <v>52</v>
      </c>
      <c r="T46" s="101" t="s">
        <v>49</v>
      </c>
      <c r="U46" s="101"/>
    </row>
    <row r="47" spans="1:21" s="1" customFormat="1" ht="13" customHeight="1" x14ac:dyDescent="0.35">
      <c r="A47" s="121">
        <v>46</v>
      </c>
      <c r="B47" s="124">
        <v>2025</v>
      </c>
      <c r="C47" s="125" t="s">
        <v>716</v>
      </c>
      <c r="D47" s="108" t="s">
        <v>55</v>
      </c>
      <c r="E47" s="101" t="s">
        <v>739</v>
      </c>
      <c r="F47" s="101" t="s">
        <v>741</v>
      </c>
      <c r="G47" s="101" t="s">
        <v>50</v>
      </c>
      <c r="H47" s="101" t="s">
        <v>51</v>
      </c>
      <c r="I47" s="101" t="s">
        <v>23</v>
      </c>
      <c r="J47" s="101" t="s">
        <v>45</v>
      </c>
      <c r="K47" s="104" t="s">
        <v>25</v>
      </c>
      <c r="L47" s="106"/>
      <c r="M47" s="105">
        <v>45978</v>
      </c>
      <c r="N47" s="101" t="s">
        <v>47</v>
      </c>
      <c r="O47" s="101"/>
      <c r="P47" s="101"/>
      <c r="Q47" s="101"/>
      <c r="R47" s="101" t="s">
        <v>47</v>
      </c>
      <c r="S47" s="101" t="s">
        <v>52</v>
      </c>
      <c r="T47" s="101" t="s">
        <v>49</v>
      </c>
      <c r="U47" s="101"/>
    </row>
    <row r="48" spans="1:21" s="1" customFormat="1" ht="13" customHeight="1" x14ac:dyDescent="0.35">
      <c r="A48" s="121">
        <v>47</v>
      </c>
      <c r="B48" s="124">
        <v>2025</v>
      </c>
      <c r="C48" s="125" t="s">
        <v>716</v>
      </c>
      <c r="D48" s="108" t="s">
        <v>55</v>
      </c>
      <c r="E48" s="101" t="s">
        <v>742</v>
      </c>
      <c r="F48" s="103" t="s">
        <v>743</v>
      </c>
      <c r="G48" s="101" t="s">
        <v>21</v>
      </c>
      <c r="H48" s="101" t="s">
        <v>744</v>
      </c>
      <c r="I48" s="101" t="s">
        <v>62</v>
      </c>
      <c r="J48" s="101" t="s">
        <v>24</v>
      </c>
      <c r="K48" s="104" t="s">
        <v>25</v>
      </c>
      <c r="L48" s="106"/>
      <c r="M48" s="105">
        <v>45666</v>
      </c>
      <c r="N48" s="101"/>
      <c r="O48" s="101"/>
      <c r="P48" s="101"/>
      <c r="Q48" s="101"/>
      <c r="R48" s="101" t="s">
        <v>53</v>
      </c>
      <c r="S48" s="101" t="s">
        <v>37</v>
      </c>
      <c r="T48" s="101" t="s">
        <v>38</v>
      </c>
      <c r="U48" s="101">
        <v>18</v>
      </c>
    </row>
    <row r="49" spans="1:21" ht="13" customHeight="1" x14ac:dyDescent="0.25">
      <c r="A49" s="121">
        <v>48</v>
      </c>
      <c r="B49" s="126">
        <v>2026</v>
      </c>
      <c r="C49" s="127" t="s">
        <v>76</v>
      </c>
      <c r="D49" s="122" t="s">
        <v>517</v>
      </c>
      <c r="E49" s="61" t="s">
        <v>576</v>
      </c>
      <c r="F49" s="62" t="s">
        <v>625</v>
      </c>
      <c r="G49" s="61" t="s">
        <v>56</v>
      </c>
      <c r="H49" s="61" t="s">
        <v>80</v>
      </c>
      <c r="I49" s="61" t="s">
        <v>23</v>
      </c>
      <c r="J49" s="61" t="s">
        <v>626</v>
      </c>
      <c r="K49" s="63" t="s">
        <v>25</v>
      </c>
      <c r="L49" s="64"/>
      <c r="M49" s="105">
        <v>46028</v>
      </c>
      <c r="N49" s="61"/>
      <c r="O49" s="61"/>
      <c r="P49" s="61" t="s">
        <v>48</v>
      </c>
      <c r="Q49" s="61"/>
      <c r="R49" s="61" t="s">
        <v>48</v>
      </c>
      <c r="S49" s="61" t="s">
        <v>90</v>
      </c>
      <c r="T49" s="61" t="s">
        <v>49</v>
      </c>
      <c r="U49" s="61">
        <v>3</v>
      </c>
    </row>
    <row r="50" spans="1:21" ht="13" customHeight="1" x14ac:dyDescent="0.25">
      <c r="A50" s="121">
        <v>49</v>
      </c>
      <c r="B50" s="126">
        <v>2026</v>
      </c>
      <c r="C50" s="127" t="s">
        <v>76</v>
      </c>
      <c r="D50" s="122" t="s">
        <v>112</v>
      </c>
      <c r="E50" s="61" t="s">
        <v>627</v>
      </c>
      <c r="F50" s="65" t="s">
        <v>628</v>
      </c>
      <c r="G50" s="61" t="s">
        <v>56</v>
      </c>
      <c r="H50" s="61" t="s">
        <v>567</v>
      </c>
      <c r="I50" s="61" t="s">
        <v>23</v>
      </c>
      <c r="J50" s="61" t="s">
        <v>97</v>
      </c>
      <c r="K50" s="64"/>
      <c r="L50" s="64"/>
      <c r="M50" s="105">
        <v>46092</v>
      </c>
      <c r="N50" s="61" t="s">
        <v>53</v>
      </c>
      <c r="O50" s="61"/>
      <c r="P50" s="61"/>
      <c r="Q50" s="61"/>
      <c r="R50" s="61" t="s">
        <v>53</v>
      </c>
      <c r="S50" s="61" t="s">
        <v>52</v>
      </c>
      <c r="T50" s="61" t="s">
        <v>95</v>
      </c>
      <c r="U50" s="61"/>
    </row>
    <row r="51" spans="1:21" ht="13" customHeight="1" x14ac:dyDescent="0.25">
      <c r="A51" s="121">
        <v>50</v>
      </c>
      <c r="B51" s="126">
        <v>2026</v>
      </c>
      <c r="C51" s="127" t="s">
        <v>76</v>
      </c>
      <c r="D51" s="122" t="s">
        <v>19</v>
      </c>
      <c r="E51" s="61" t="s">
        <v>42</v>
      </c>
      <c r="F51" s="65" t="s">
        <v>629</v>
      </c>
      <c r="G51" s="61" t="s">
        <v>39</v>
      </c>
      <c r="H51" s="65" t="s">
        <v>51</v>
      </c>
      <c r="I51" s="61" t="s">
        <v>23</v>
      </c>
      <c r="J51" s="61" t="s">
        <v>24</v>
      </c>
      <c r="K51" s="64" t="s">
        <v>85</v>
      </c>
      <c r="L51" s="64"/>
      <c r="M51" s="105">
        <v>46091</v>
      </c>
      <c r="N51" s="61" t="s">
        <v>48</v>
      </c>
      <c r="O51" s="61"/>
      <c r="P51" s="61" t="s">
        <v>48</v>
      </c>
      <c r="Q51" s="65" t="s">
        <v>630</v>
      </c>
      <c r="R51" s="61" t="s">
        <v>48</v>
      </c>
      <c r="S51" s="61" t="s">
        <v>43</v>
      </c>
      <c r="T51" s="61" t="s">
        <v>49</v>
      </c>
      <c r="U51" s="61">
        <v>12</v>
      </c>
    </row>
    <row r="52" spans="1:21" ht="13" customHeight="1" x14ac:dyDescent="0.25">
      <c r="A52" s="121">
        <v>51</v>
      </c>
      <c r="B52" s="126">
        <v>2026</v>
      </c>
      <c r="C52" s="127" t="s">
        <v>76</v>
      </c>
      <c r="D52" s="122" t="s">
        <v>19</v>
      </c>
      <c r="E52" s="61" t="s">
        <v>20</v>
      </c>
      <c r="F52" s="65" t="s">
        <v>631</v>
      </c>
      <c r="G52" s="61" t="s">
        <v>56</v>
      </c>
      <c r="H52" s="61" t="s">
        <v>40</v>
      </c>
      <c r="I52" s="61" t="s">
        <v>23</v>
      </c>
      <c r="J52" s="61" t="s">
        <v>510</v>
      </c>
      <c r="K52" s="64" t="s">
        <v>85</v>
      </c>
      <c r="L52" s="64"/>
      <c r="M52" s="105">
        <v>46090</v>
      </c>
      <c r="N52" s="61" t="s">
        <v>47</v>
      </c>
      <c r="O52" s="61" t="s">
        <v>47</v>
      </c>
      <c r="P52" s="61"/>
      <c r="Q52" s="66" t="s">
        <v>632</v>
      </c>
      <c r="R52" s="61" t="s">
        <v>47</v>
      </c>
      <c r="S52" s="61" t="s">
        <v>90</v>
      </c>
      <c r="T52" s="61" t="s">
        <v>49</v>
      </c>
      <c r="U52" s="61"/>
    </row>
    <row r="53" spans="1:21" ht="13" customHeight="1" x14ac:dyDescent="0.25">
      <c r="A53" s="121">
        <v>52</v>
      </c>
      <c r="B53" s="126">
        <v>2026</v>
      </c>
      <c r="C53" s="127" t="s">
        <v>76</v>
      </c>
      <c r="D53" s="122" t="s">
        <v>19</v>
      </c>
      <c r="E53" s="61" t="s">
        <v>42</v>
      </c>
      <c r="F53" s="65" t="s">
        <v>633</v>
      </c>
      <c r="G53" s="61" t="s">
        <v>34</v>
      </c>
      <c r="H53" s="61" t="s">
        <v>22</v>
      </c>
      <c r="I53" s="61" t="s">
        <v>23</v>
      </c>
      <c r="J53" s="61" t="s">
        <v>24</v>
      </c>
      <c r="K53" s="64"/>
      <c r="L53" s="64"/>
      <c r="M53" s="105">
        <v>46094</v>
      </c>
      <c r="N53" s="61" t="s">
        <v>53</v>
      </c>
      <c r="O53" s="61"/>
      <c r="P53" s="61" t="s">
        <v>53</v>
      </c>
      <c r="Q53" s="61" t="s">
        <v>614</v>
      </c>
      <c r="R53" s="61" t="s">
        <v>53</v>
      </c>
      <c r="S53" s="61" t="s">
        <v>28</v>
      </c>
      <c r="T53" s="61" t="s">
        <v>29</v>
      </c>
      <c r="U53" s="61">
        <v>6</v>
      </c>
    </row>
    <row r="54" spans="1:21" ht="13" customHeight="1" x14ac:dyDescent="0.25">
      <c r="A54" s="121">
        <v>53</v>
      </c>
      <c r="B54" s="126">
        <v>2026</v>
      </c>
      <c r="C54" s="127" t="s">
        <v>76</v>
      </c>
      <c r="D54" s="122" t="s">
        <v>30</v>
      </c>
      <c r="E54" s="61" t="s">
        <v>64</v>
      </c>
      <c r="F54" s="65" t="s">
        <v>634</v>
      </c>
      <c r="G54" s="61" t="s">
        <v>34</v>
      </c>
      <c r="H54" s="61" t="s">
        <v>44</v>
      </c>
      <c r="I54" s="61" t="s">
        <v>23</v>
      </c>
      <c r="J54" s="61" t="s">
        <v>610</v>
      </c>
      <c r="K54" s="64" t="s">
        <v>58</v>
      </c>
      <c r="L54" s="64"/>
      <c r="M54" s="105">
        <v>46101</v>
      </c>
      <c r="N54" s="61" t="s">
        <v>523</v>
      </c>
      <c r="O54" s="61"/>
      <c r="P54" s="61" t="s">
        <v>59</v>
      </c>
      <c r="Q54" s="61" t="s">
        <v>94</v>
      </c>
      <c r="R54" s="61" t="s">
        <v>59</v>
      </c>
      <c r="S54" s="61" t="s">
        <v>33</v>
      </c>
      <c r="T54" s="61" t="s">
        <v>29</v>
      </c>
      <c r="U54" s="61">
        <v>6</v>
      </c>
    </row>
    <row r="55" spans="1:21" ht="13" customHeight="1" x14ac:dyDescent="0.25">
      <c r="A55" s="121">
        <v>54</v>
      </c>
      <c r="B55" s="126">
        <v>2026</v>
      </c>
      <c r="C55" s="128" t="s">
        <v>87</v>
      </c>
      <c r="D55" s="122" t="s">
        <v>112</v>
      </c>
      <c r="E55" s="61" t="s">
        <v>635</v>
      </c>
      <c r="F55" s="65" t="s">
        <v>636</v>
      </c>
      <c r="G55" s="61" t="s">
        <v>590</v>
      </c>
      <c r="H55" s="61" t="s">
        <v>567</v>
      </c>
      <c r="I55" s="61" t="s">
        <v>23</v>
      </c>
      <c r="J55" s="61" t="s">
        <v>93</v>
      </c>
      <c r="K55" s="64" t="s">
        <v>85</v>
      </c>
      <c r="L55" s="64"/>
      <c r="M55" s="105">
        <v>46121</v>
      </c>
      <c r="N55" s="61" t="s">
        <v>53</v>
      </c>
      <c r="O55" s="61"/>
      <c r="P55" s="61" t="s">
        <v>53</v>
      </c>
      <c r="Q55" s="61" t="s">
        <v>637</v>
      </c>
      <c r="R55" s="61" t="s">
        <v>53</v>
      </c>
      <c r="S55" s="61" t="s">
        <v>28</v>
      </c>
      <c r="T55" s="61" t="s">
        <v>49</v>
      </c>
      <c r="U55" s="61"/>
    </row>
    <row r="56" spans="1:21" ht="13" customHeight="1" x14ac:dyDescent="0.25">
      <c r="A56" s="121">
        <v>55</v>
      </c>
      <c r="B56" s="126">
        <v>2026</v>
      </c>
      <c r="C56" s="128" t="s">
        <v>87</v>
      </c>
      <c r="D56" s="129" t="s">
        <v>30</v>
      </c>
      <c r="E56" s="130" t="s">
        <v>638</v>
      </c>
      <c r="F56" s="131" t="s">
        <v>639</v>
      </c>
      <c r="G56" s="130" t="s">
        <v>640</v>
      </c>
      <c r="H56" s="130" t="s">
        <v>641</v>
      </c>
      <c r="I56" s="130" t="s">
        <v>62</v>
      </c>
      <c r="J56" s="130" t="s">
        <v>642</v>
      </c>
      <c r="K56" s="132" t="s">
        <v>25</v>
      </c>
      <c r="L56" s="133"/>
      <c r="M56" s="134">
        <v>46139</v>
      </c>
      <c r="N56" s="130" t="s">
        <v>67</v>
      </c>
      <c r="O56" s="130" t="s">
        <v>67</v>
      </c>
      <c r="P56" s="130" t="s">
        <v>67</v>
      </c>
      <c r="Q56" s="130"/>
      <c r="R56" s="130" t="s">
        <v>67</v>
      </c>
      <c r="S56" s="130" t="s">
        <v>52</v>
      </c>
      <c r="T56" s="130" t="s">
        <v>49</v>
      </c>
      <c r="U56" s="130"/>
    </row>
    <row r="57" spans="1:21" ht="13" customHeight="1" x14ac:dyDescent="0.25">
      <c r="A57" s="121">
        <v>56</v>
      </c>
      <c r="B57" s="126">
        <v>2026</v>
      </c>
      <c r="C57" s="128" t="s">
        <v>87</v>
      </c>
      <c r="D57" s="135" t="s">
        <v>55</v>
      </c>
      <c r="E57" s="135" t="s">
        <v>643</v>
      </c>
      <c r="F57" s="136" t="s">
        <v>644</v>
      </c>
      <c r="G57" s="135" t="s">
        <v>34</v>
      </c>
      <c r="H57" s="136" t="s">
        <v>22</v>
      </c>
      <c r="I57" s="135" t="s">
        <v>23</v>
      </c>
      <c r="J57" s="136" t="s">
        <v>645</v>
      </c>
      <c r="K57" s="136" t="s">
        <v>25</v>
      </c>
      <c r="L57" s="135"/>
      <c r="M57" s="137">
        <v>46142</v>
      </c>
      <c r="N57" s="135" t="s">
        <v>67</v>
      </c>
      <c r="O57" s="135"/>
      <c r="P57" s="135" t="s">
        <v>46</v>
      </c>
      <c r="Q57" s="135"/>
      <c r="R57" s="135" t="s">
        <v>48</v>
      </c>
      <c r="S57" s="135" t="s">
        <v>52</v>
      </c>
      <c r="T57" s="135" t="s">
        <v>49</v>
      </c>
      <c r="U57" s="135">
        <v>12</v>
      </c>
    </row>
    <row r="58" spans="1:21" ht="13" customHeight="1" x14ac:dyDescent="0.25">
      <c r="A58" s="121">
        <v>57</v>
      </c>
      <c r="B58" s="126">
        <v>2026</v>
      </c>
      <c r="C58" s="128" t="s">
        <v>87</v>
      </c>
      <c r="D58" s="135" t="s">
        <v>19</v>
      </c>
      <c r="E58" s="135" t="s">
        <v>42</v>
      </c>
      <c r="F58" s="136" t="s">
        <v>934</v>
      </c>
      <c r="G58" s="135" t="s">
        <v>34</v>
      </c>
      <c r="H58" s="135" t="s">
        <v>22</v>
      </c>
      <c r="I58" s="135" t="s">
        <v>23</v>
      </c>
      <c r="J58" s="135" t="s">
        <v>935</v>
      </c>
      <c r="K58" s="135" t="s">
        <v>85</v>
      </c>
      <c r="L58" s="135"/>
      <c r="M58" s="137">
        <v>46136</v>
      </c>
      <c r="N58" s="135" t="s">
        <v>27</v>
      </c>
      <c r="O58" s="135"/>
      <c r="P58" s="135"/>
      <c r="Q58" s="135" t="s">
        <v>26</v>
      </c>
      <c r="R58" s="135" t="s">
        <v>27</v>
      </c>
      <c r="S58" s="135" t="s">
        <v>43</v>
      </c>
      <c r="T58" s="135" t="s">
        <v>49</v>
      </c>
      <c r="U58" s="135"/>
    </row>
    <row r="59" spans="1:21" ht="13" customHeight="1" x14ac:dyDescent="0.25">
      <c r="A59" s="121">
        <v>58</v>
      </c>
      <c r="B59" s="126">
        <v>2026</v>
      </c>
      <c r="C59" s="128" t="s">
        <v>87</v>
      </c>
      <c r="D59" s="135" t="s">
        <v>19</v>
      </c>
      <c r="E59" s="135" t="s">
        <v>20</v>
      </c>
      <c r="F59" s="136" t="s">
        <v>936</v>
      </c>
      <c r="G59" s="135" t="s">
        <v>34</v>
      </c>
      <c r="H59" s="135" t="s">
        <v>22</v>
      </c>
      <c r="I59" s="135"/>
      <c r="J59" s="135" t="s">
        <v>937</v>
      </c>
      <c r="K59" s="135" t="s">
        <v>25</v>
      </c>
      <c r="L59" s="135"/>
      <c r="M59" s="137">
        <v>46157</v>
      </c>
      <c r="N59" s="135" t="s">
        <v>27</v>
      </c>
      <c r="O59" s="135"/>
      <c r="P59" s="135" t="s">
        <v>27</v>
      </c>
      <c r="Q59" s="135" t="s">
        <v>938</v>
      </c>
      <c r="R59" s="135" t="s">
        <v>27</v>
      </c>
      <c r="S59" s="135" t="s">
        <v>90</v>
      </c>
      <c r="T59" s="135" t="s">
        <v>49</v>
      </c>
      <c r="U59" s="135"/>
    </row>
    <row r="60" spans="1:21" ht="13" customHeight="1" x14ac:dyDescent="0.25">
      <c r="A60" s="121">
        <v>59</v>
      </c>
      <c r="B60" s="126">
        <v>2026</v>
      </c>
      <c r="C60" s="128" t="s">
        <v>87</v>
      </c>
      <c r="D60" s="135" t="s">
        <v>19</v>
      </c>
      <c r="E60" s="135" t="s">
        <v>20</v>
      </c>
      <c r="F60" s="136" t="s">
        <v>939</v>
      </c>
      <c r="G60" s="135" t="s">
        <v>56</v>
      </c>
      <c r="H60" s="135" t="s">
        <v>22</v>
      </c>
      <c r="I60" s="135" t="s">
        <v>23</v>
      </c>
      <c r="J60" s="135" t="s">
        <v>106</v>
      </c>
      <c r="K60" s="135" t="s">
        <v>25</v>
      </c>
      <c r="L60" s="135"/>
      <c r="M60" s="137">
        <v>46153</v>
      </c>
      <c r="N60" s="135" t="s">
        <v>53</v>
      </c>
      <c r="O60" s="135" t="s">
        <v>53</v>
      </c>
      <c r="P60" s="135"/>
      <c r="Q60" s="135"/>
      <c r="R60" s="135" t="s">
        <v>53</v>
      </c>
      <c r="S60" s="135" t="s">
        <v>78</v>
      </c>
      <c r="T60" s="135" t="s">
        <v>49</v>
      </c>
      <c r="U60" s="135">
        <v>6</v>
      </c>
    </row>
    <row r="61" spans="1:21" ht="13" customHeight="1" x14ac:dyDescent="0.25">
      <c r="A61" s="121">
        <v>60</v>
      </c>
      <c r="B61" s="126">
        <v>2026</v>
      </c>
      <c r="C61" s="128" t="s">
        <v>87</v>
      </c>
      <c r="D61" s="143" t="s">
        <v>55</v>
      </c>
      <c r="E61" s="143" t="s">
        <v>562</v>
      </c>
      <c r="F61" s="144" t="s">
        <v>940</v>
      </c>
      <c r="G61" s="143" t="s">
        <v>79</v>
      </c>
      <c r="H61" s="143" t="s">
        <v>22</v>
      </c>
      <c r="I61" s="143" t="s">
        <v>23</v>
      </c>
      <c r="J61" s="143" t="s">
        <v>24</v>
      </c>
      <c r="K61" s="143" t="s">
        <v>25</v>
      </c>
      <c r="L61" s="143"/>
      <c r="M61" s="145">
        <v>46182</v>
      </c>
      <c r="N61" s="143" t="s">
        <v>53</v>
      </c>
      <c r="O61" s="143"/>
      <c r="P61" s="143"/>
      <c r="Q61" s="143" t="s">
        <v>568</v>
      </c>
      <c r="R61" s="143" t="s">
        <v>53</v>
      </c>
      <c r="S61" s="143" t="s">
        <v>41</v>
      </c>
      <c r="T61" s="143"/>
      <c r="U61" s="143"/>
    </row>
    <row r="62" spans="1:21" ht="13" customHeight="1" x14ac:dyDescent="0.25">
      <c r="A62" s="121">
        <v>61</v>
      </c>
      <c r="B62" s="126">
        <v>2026</v>
      </c>
      <c r="C62" s="128" t="s">
        <v>87</v>
      </c>
      <c r="D62" s="135" t="s">
        <v>112</v>
      </c>
      <c r="E62" s="135" t="s">
        <v>996</v>
      </c>
      <c r="F62" s="136" t="s">
        <v>997</v>
      </c>
      <c r="G62" s="135" t="s">
        <v>34</v>
      </c>
      <c r="H62" s="135" t="s">
        <v>80</v>
      </c>
      <c r="I62" s="135" t="s">
        <v>23</v>
      </c>
      <c r="J62" s="135" t="s">
        <v>106</v>
      </c>
      <c r="K62" s="135" t="s">
        <v>25</v>
      </c>
      <c r="L62" s="135"/>
      <c r="M62" s="146"/>
      <c r="N62" s="135" t="s">
        <v>962</v>
      </c>
      <c r="O62" s="135"/>
      <c r="P62" s="135" t="s">
        <v>523</v>
      </c>
      <c r="Q62" s="135" t="s">
        <v>899</v>
      </c>
      <c r="R62" s="135" t="s">
        <v>523</v>
      </c>
      <c r="S62" s="135" t="s">
        <v>78</v>
      </c>
      <c r="T62" s="135" t="s">
        <v>49</v>
      </c>
      <c r="U62" s="135">
        <v>8</v>
      </c>
    </row>
    <row r="63" spans="1:21" ht="13" customHeight="1" x14ac:dyDescent="0.25">
      <c r="A63" s="121">
        <v>62</v>
      </c>
      <c r="B63" s="126">
        <v>2026</v>
      </c>
      <c r="C63" s="128" t="s">
        <v>87</v>
      </c>
      <c r="D63" s="135" t="s">
        <v>959</v>
      </c>
      <c r="E63" s="135" t="s">
        <v>960</v>
      </c>
      <c r="F63" s="136" t="s">
        <v>961</v>
      </c>
      <c r="G63" s="135" t="s">
        <v>34</v>
      </c>
      <c r="H63" s="135" t="s">
        <v>80</v>
      </c>
      <c r="I63" s="135" t="s">
        <v>23</v>
      </c>
      <c r="J63" s="135" t="s">
        <v>106</v>
      </c>
      <c r="K63" s="135" t="s">
        <v>85</v>
      </c>
      <c r="L63" s="135"/>
      <c r="M63" s="146"/>
      <c r="N63" s="135" t="s">
        <v>962</v>
      </c>
      <c r="O63" s="135"/>
      <c r="P63" s="135"/>
      <c r="Q63" s="135"/>
      <c r="R63" s="135" t="s">
        <v>523</v>
      </c>
      <c r="S63" s="135" t="s">
        <v>78</v>
      </c>
      <c r="T63" s="135" t="s">
        <v>49</v>
      </c>
      <c r="U63" s="135"/>
    </row>
    <row r="64" spans="1:21" ht="13" customHeight="1" x14ac:dyDescent="0.25">
      <c r="A64" s="121">
        <v>63</v>
      </c>
      <c r="B64" s="126">
        <v>2026</v>
      </c>
      <c r="C64" s="128" t="s">
        <v>87</v>
      </c>
      <c r="D64" s="135" t="s">
        <v>19</v>
      </c>
      <c r="E64" s="135" t="s">
        <v>42</v>
      </c>
      <c r="F64" s="136" t="s">
        <v>998</v>
      </c>
      <c r="G64" s="135" t="s">
        <v>590</v>
      </c>
      <c r="H64" s="135" t="s">
        <v>40</v>
      </c>
      <c r="I64" s="135" t="s">
        <v>23</v>
      </c>
      <c r="J64" s="135" t="s">
        <v>999</v>
      </c>
      <c r="K64" s="135" t="s">
        <v>25</v>
      </c>
      <c r="L64" s="135"/>
      <c r="M64" s="146"/>
      <c r="N64" s="135" t="s">
        <v>47</v>
      </c>
      <c r="O64" s="135"/>
      <c r="P64" s="135"/>
      <c r="Q64" s="135"/>
      <c r="R64" s="135" t="s">
        <v>962</v>
      </c>
      <c r="S64" s="135" t="s">
        <v>523</v>
      </c>
      <c r="T64" s="135"/>
      <c r="U64" s="135">
        <v>4</v>
      </c>
    </row>
    <row r="65" spans="1:21" ht="13" customHeight="1" x14ac:dyDescent="0.25">
      <c r="A65" s="121">
        <v>64</v>
      </c>
      <c r="B65" s="126">
        <v>2026</v>
      </c>
      <c r="C65" s="128" t="s">
        <v>87</v>
      </c>
      <c r="D65" s="135" t="s">
        <v>55</v>
      </c>
      <c r="E65" s="135" t="s">
        <v>20</v>
      </c>
      <c r="F65" s="136" t="s">
        <v>1000</v>
      </c>
      <c r="G65" s="135" t="s">
        <v>34</v>
      </c>
      <c r="H65" s="135" t="s">
        <v>22</v>
      </c>
      <c r="I65" s="135" t="s">
        <v>23</v>
      </c>
      <c r="J65" s="135" t="s">
        <v>97</v>
      </c>
      <c r="K65" s="135" t="s">
        <v>58</v>
      </c>
      <c r="L65" s="135"/>
      <c r="M65" s="146">
        <v>46198</v>
      </c>
      <c r="N65" s="135" t="s">
        <v>36</v>
      </c>
      <c r="O65" s="135" t="s">
        <v>36</v>
      </c>
      <c r="P65" s="135" t="s">
        <v>46</v>
      </c>
      <c r="Q65" s="135" t="s">
        <v>1001</v>
      </c>
      <c r="R65" s="135" t="s">
        <v>36</v>
      </c>
      <c r="S65" s="135" t="s">
        <v>37</v>
      </c>
      <c r="T65" s="135" t="s">
        <v>95</v>
      </c>
      <c r="U65" s="135"/>
    </row>
    <row r="66" spans="1:21" ht="13" customHeight="1" x14ac:dyDescent="0.35">
      <c r="A66" s="121">
        <v>65</v>
      </c>
      <c r="B66" s="126">
        <v>2026</v>
      </c>
      <c r="C66" s="128" t="s">
        <v>87</v>
      </c>
      <c r="D66" s="135" t="s">
        <v>63</v>
      </c>
      <c r="E66" s="135" t="s">
        <v>1002</v>
      </c>
      <c r="F66" s="135" t="s">
        <v>1003</v>
      </c>
      <c r="G66" s="135" t="s">
        <v>590</v>
      </c>
      <c r="H66" s="135" t="s">
        <v>526</v>
      </c>
      <c r="I66" s="135" t="s">
        <v>23</v>
      </c>
      <c r="J66" s="135" t="s">
        <v>106</v>
      </c>
      <c r="K66" s="135" t="s">
        <v>58</v>
      </c>
      <c r="L66" s="147"/>
      <c r="M66" s="146">
        <v>46191</v>
      </c>
      <c r="N66" s="135" t="s">
        <v>962</v>
      </c>
      <c r="O66" s="135"/>
      <c r="P66" s="135" t="s">
        <v>523</v>
      </c>
      <c r="Q66" s="135"/>
      <c r="R66" s="135" t="s">
        <v>523</v>
      </c>
      <c r="S66" s="135" t="s">
        <v>78</v>
      </c>
      <c r="T66" s="135" t="s">
        <v>29</v>
      </c>
      <c r="U66" s="135">
        <v>4</v>
      </c>
    </row>
    <row r="67" spans="1:21" ht="13" customHeight="1" x14ac:dyDescent="0.35">
      <c r="A67" s="121">
        <v>66</v>
      </c>
      <c r="B67" s="126">
        <v>2026</v>
      </c>
      <c r="C67" s="128" t="s">
        <v>87</v>
      </c>
      <c r="D67" s="135" t="s">
        <v>63</v>
      </c>
      <c r="E67" s="135" t="s">
        <v>1002</v>
      </c>
      <c r="F67" s="135" t="s">
        <v>1004</v>
      </c>
      <c r="G67" s="135" t="s">
        <v>590</v>
      </c>
      <c r="H67" s="135" t="s">
        <v>526</v>
      </c>
      <c r="I67" s="135" t="s">
        <v>23</v>
      </c>
      <c r="J67" s="135" t="s">
        <v>106</v>
      </c>
      <c r="K67" s="135" t="s">
        <v>58</v>
      </c>
      <c r="L67" s="147"/>
      <c r="M67" s="146">
        <v>46202</v>
      </c>
      <c r="N67" s="135" t="s">
        <v>962</v>
      </c>
      <c r="O67" s="135"/>
      <c r="P67" s="135" t="s">
        <v>523</v>
      </c>
      <c r="Q67" s="135"/>
      <c r="R67" s="135" t="s">
        <v>962</v>
      </c>
      <c r="S67" s="135" t="s">
        <v>523</v>
      </c>
      <c r="T67" s="135" t="s">
        <v>29</v>
      </c>
      <c r="U67" s="135">
        <v>4</v>
      </c>
    </row>
    <row r="68" spans="1:21" ht="13" customHeight="1" x14ac:dyDescent="0.35">
      <c r="A68" s="121">
        <v>67</v>
      </c>
      <c r="B68" s="126">
        <v>2026</v>
      </c>
      <c r="C68" s="128" t="s">
        <v>87</v>
      </c>
      <c r="D68" s="135" t="s">
        <v>112</v>
      </c>
      <c r="E68" s="135" t="s">
        <v>1005</v>
      </c>
      <c r="F68" s="135" t="s">
        <v>1006</v>
      </c>
      <c r="G68" s="135" t="s">
        <v>612</v>
      </c>
      <c r="H68" s="135" t="s">
        <v>80</v>
      </c>
      <c r="I68" s="135" t="s">
        <v>23</v>
      </c>
      <c r="J68" s="135" t="s">
        <v>116</v>
      </c>
      <c r="K68" s="135"/>
      <c r="L68" s="147"/>
      <c r="M68" s="146">
        <v>46201</v>
      </c>
      <c r="N68" s="135" t="s">
        <v>60</v>
      </c>
      <c r="O68" s="135" t="s">
        <v>89</v>
      </c>
      <c r="P68" s="135"/>
      <c r="Q68" s="135" t="s">
        <v>117</v>
      </c>
      <c r="R68" s="135" t="s">
        <v>89</v>
      </c>
      <c r="S68" s="135" t="s">
        <v>82</v>
      </c>
      <c r="T68" s="135" t="s">
        <v>49</v>
      </c>
      <c r="U68" s="135">
        <v>6</v>
      </c>
    </row>
    <row r="69" spans="1:21" ht="13" customHeight="1" x14ac:dyDescent="0.35">
      <c r="A69" s="121">
        <v>68</v>
      </c>
      <c r="B69" s="126">
        <v>2026</v>
      </c>
      <c r="C69" s="128" t="s">
        <v>87</v>
      </c>
      <c r="D69" s="135" t="s">
        <v>55</v>
      </c>
      <c r="E69" s="135" t="s">
        <v>1007</v>
      </c>
      <c r="F69" s="135" t="s">
        <v>1008</v>
      </c>
      <c r="G69" s="135" t="s">
        <v>612</v>
      </c>
      <c r="H69" s="135" t="s">
        <v>22</v>
      </c>
      <c r="I69" s="135" t="s">
        <v>23</v>
      </c>
      <c r="J69" s="135" t="s">
        <v>701</v>
      </c>
      <c r="K69" s="135" t="s">
        <v>25</v>
      </c>
      <c r="L69" s="147"/>
      <c r="M69" s="146">
        <v>46212</v>
      </c>
      <c r="N69" s="135" t="s">
        <v>506</v>
      </c>
      <c r="O69" s="135"/>
      <c r="P69" s="135"/>
      <c r="Q69" s="135"/>
      <c r="R69" s="135" t="s">
        <v>61</v>
      </c>
      <c r="S69" s="135" t="s">
        <v>41</v>
      </c>
      <c r="T69" s="135" t="s">
        <v>95</v>
      </c>
      <c r="U69" s="135">
        <v>24</v>
      </c>
    </row>
    <row r="70" spans="1:21" ht="13" customHeight="1" x14ac:dyDescent="0.35">
      <c r="A70" s="121">
        <v>69</v>
      </c>
      <c r="B70" s="126">
        <v>2026</v>
      </c>
      <c r="C70" s="128" t="s">
        <v>681</v>
      </c>
      <c r="D70" s="135" t="s">
        <v>1009</v>
      </c>
      <c r="E70" s="135" t="s">
        <v>1010</v>
      </c>
      <c r="F70" s="135" t="s">
        <v>1011</v>
      </c>
      <c r="G70" s="135" t="s">
        <v>79</v>
      </c>
      <c r="H70" s="135" t="s">
        <v>1012</v>
      </c>
      <c r="I70" s="135" t="s">
        <v>1013</v>
      </c>
      <c r="J70" s="135" t="s">
        <v>1014</v>
      </c>
      <c r="K70" s="135" t="s">
        <v>1015</v>
      </c>
      <c r="L70" s="147"/>
      <c r="M70" s="146">
        <v>46212</v>
      </c>
      <c r="N70" s="135" t="s">
        <v>47</v>
      </c>
      <c r="O70" s="135" t="s">
        <v>78</v>
      </c>
      <c r="P70" s="135"/>
      <c r="Q70" s="135" t="s">
        <v>1016</v>
      </c>
      <c r="R70" s="135" t="s">
        <v>1017</v>
      </c>
      <c r="S70" s="135" t="s">
        <v>78</v>
      </c>
      <c r="T70" s="135" t="s">
        <v>49</v>
      </c>
      <c r="U70" s="135"/>
    </row>
    <row r="71" spans="1:21" ht="13" customHeight="1" x14ac:dyDescent="0.35">
      <c r="A71" s="121">
        <v>70</v>
      </c>
      <c r="B71" s="126">
        <v>2026</v>
      </c>
      <c r="C71" s="128" t="s">
        <v>681</v>
      </c>
      <c r="D71" s="135" t="s">
        <v>55</v>
      </c>
      <c r="E71" s="135" t="s">
        <v>1018</v>
      </c>
      <c r="F71" s="135" t="s">
        <v>1019</v>
      </c>
      <c r="G71" s="135" t="s">
        <v>79</v>
      </c>
      <c r="H71" s="135" t="s">
        <v>526</v>
      </c>
      <c r="I71" s="135" t="s">
        <v>1013</v>
      </c>
      <c r="J71" s="135" t="s">
        <v>24</v>
      </c>
      <c r="K71" s="135" t="s">
        <v>25</v>
      </c>
      <c r="L71" s="147"/>
      <c r="M71" s="146">
        <v>46209</v>
      </c>
      <c r="N71" s="135" t="s">
        <v>1017</v>
      </c>
      <c r="O71" s="135"/>
      <c r="P71" s="135" t="s">
        <v>43</v>
      </c>
      <c r="Q71" s="135" t="s">
        <v>1020</v>
      </c>
      <c r="R71" s="135" t="s">
        <v>1017</v>
      </c>
      <c r="S71" s="135" t="s">
        <v>28</v>
      </c>
      <c r="T71" s="135" t="s">
        <v>49</v>
      </c>
      <c r="U71" s="135">
        <v>3</v>
      </c>
    </row>
    <row r="72" spans="1:21" ht="13" customHeight="1" x14ac:dyDescent="0.35">
      <c r="A72" s="121">
        <v>71</v>
      </c>
      <c r="B72" s="126">
        <v>2026</v>
      </c>
      <c r="C72" s="128" t="s">
        <v>681</v>
      </c>
      <c r="D72" s="135" t="s">
        <v>30</v>
      </c>
      <c r="E72" s="135" t="s">
        <v>1007</v>
      </c>
      <c r="F72" s="135" t="s">
        <v>1021</v>
      </c>
      <c r="G72" s="135" t="s">
        <v>50</v>
      </c>
      <c r="H72" s="135" t="s">
        <v>40</v>
      </c>
      <c r="I72" s="135" t="s">
        <v>23</v>
      </c>
      <c r="J72" s="135" t="s">
        <v>605</v>
      </c>
      <c r="K72" s="135" t="s">
        <v>25</v>
      </c>
      <c r="L72"/>
      <c r="M72" s="146">
        <v>46218</v>
      </c>
      <c r="N72" s="135" t="s">
        <v>506</v>
      </c>
      <c r="O72" s="135" t="s">
        <v>506</v>
      </c>
      <c r="P72" s="135" t="s">
        <v>61</v>
      </c>
      <c r="Q72" s="135"/>
      <c r="R72" s="135" t="s">
        <v>506</v>
      </c>
      <c r="S72" s="135" t="s">
        <v>41</v>
      </c>
      <c r="T72" s="135" t="s">
        <v>29</v>
      </c>
      <c r="U72" s="135">
        <v>60</v>
      </c>
    </row>
    <row r="73" spans="1:21" ht="13" customHeight="1" x14ac:dyDescent="0.35">
      <c r="A73" s="121">
        <v>72</v>
      </c>
      <c r="B73" s="126">
        <v>2026</v>
      </c>
      <c r="C73" s="128" t="s">
        <v>681</v>
      </c>
      <c r="D73" s="135" t="s">
        <v>19</v>
      </c>
      <c r="E73" s="135" t="s">
        <v>20</v>
      </c>
      <c r="F73" s="135" t="s">
        <v>1022</v>
      </c>
      <c r="G73" s="135" t="s">
        <v>943</v>
      </c>
      <c r="H73" s="135" t="s">
        <v>22</v>
      </c>
      <c r="I73" s="135" t="s">
        <v>23</v>
      </c>
      <c r="J73" s="135" t="s">
        <v>1023</v>
      </c>
      <c r="K73" s="135" t="s">
        <v>25</v>
      </c>
      <c r="L73" s="147"/>
      <c r="M73" s="146">
        <v>46219</v>
      </c>
      <c r="N73" s="135" t="s">
        <v>59</v>
      </c>
      <c r="O73" s="135" t="s">
        <v>59</v>
      </c>
      <c r="P73" s="135"/>
      <c r="Q73" s="135" t="s">
        <v>1024</v>
      </c>
      <c r="R73" s="135" t="s">
        <v>59</v>
      </c>
      <c r="S73" s="135" t="s">
        <v>33</v>
      </c>
      <c r="T73" s="135" t="s">
        <v>38</v>
      </c>
      <c r="U73" s="135">
        <v>3</v>
      </c>
    </row>
    <row r="74" spans="1:21" ht="13" customHeight="1" x14ac:dyDescent="0.35">
      <c r="A74" s="121">
        <v>73</v>
      </c>
      <c r="B74" s="126">
        <v>2026</v>
      </c>
      <c r="C74" s="128" t="s">
        <v>681</v>
      </c>
      <c r="D74" s="135" t="s">
        <v>19</v>
      </c>
      <c r="E74" s="135" t="s">
        <v>20</v>
      </c>
      <c r="F74" s="135" t="s">
        <v>1025</v>
      </c>
      <c r="G74" s="135" t="s">
        <v>79</v>
      </c>
      <c r="H74" s="135" t="s">
        <v>22</v>
      </c>
      <c r="I74" s="135" t="s">
        <v>23</v>
      </c>
      <c r="J74" s="135" t="s">
        <v>97</v>
      </c>
      <c r="K74" s="135" t="s">
        <v>25</v>
      </c>
      <c r="L74" s="147"/>
      <c r="M74" s="146">
        <v>46279</v>
      </c>
      <c r="N74" s="135" t="s">
        <v>53</v>
      </c>
      <c r="O74" s="135"/>
      <c r="P74" s="135" t="s">
        <v>538</v>
      </c>
      <c r="Q74" s="135" t="s">
        <v>1026</v>
      </c>
      <c r="R74" s="135" t="s">
        <v>53</v>
      </c>
      <c r="S74" s="135" t="s">
        <v>52</v>
      </c>
      <c r="T74" s="135" t="s">
        <v>95</v>
      </c>
      <c r="U74" s="135"/>
    </row>
    <row r="75" spans="1:21" ht="13" customHeight="1" x14ac:dyDescent="0.35">
      <c r="A75" s="121">
        <v>74</v>
      </c>
      <c r="B75" s="126">
        <v>2026</v>
      </c>
      <c r="C75" s="128" t="s">
        <v>681</v>
      </c>
      <c r="D75" s="135" t="s">
        <v>19</v>
      </c>
      <c r="E75" s="135" t="s">
        <v>42</v>
      </c>
      <c r="F75" s="135" t="s">
        <v>1027</v>
      </c>
      <c r="G75" s="135" t="s">
        <v>39</v>
      </c>
      <c r="H75" s="135" t="s">
        <v>80</v>
      </c>
      <c r="I75" s="135" t="s">
        <v>23</v>
      </c>
      <c r="J75" s="135" t="s">
        <v>24</v>
      </c>
      <c r="K75" s="135" t="s">
        <v>25</v>
      </c>
      <c r="L75" s="147"/>
      <c r="M75" s="146">
        <v>46226</v>
      </c>
      <c r="N75" s="135" t="s">
        <v>47</v>
      </c>
      <c r="O75" s="135"/>
      <c r="P75" s="135"/>
      <c r="Q75" s="135"/>
      <c r="R75" s="135" t="s">
        <v>47</v>
      </c>
      <c r="S75" s="135" t="s">
        <v>41</v>
      </c>
      <c r="T75" s="135" t="s">
        <v>49</v>
      </c>
      <c r="U75" s="135"/>
    </row>
    <row r="76" spans="1:21" ht="13" customHeight="1" x14ac:dyDescent="0.35">
      <c r="A76" s="121">
        <v>75</v>
      </c>
      <c r="B76" s="126">
        <v>2026</v>
      </c>
      <c r="C76" s="128" t="s">
        <v>681</v>
      </c>
      <c r="D76" s="135" t="s">
        <v>19</v>
      </c>
      <c r="E76" s="135" t="s">
        <v>42</v>
      </c>
      <c r="F76" s="135" t="s">
        <v>1028</v>
      </c>
      <c r="G76" s="135" t="s">
        <v>612</v>
      </c>
      <c r="H76" s="135" t="s">
        <v>51</v>
      </c>
      <c r="I76" s="135"/>
      <c r="J76" s="135" t="s">
        <v>24</v>
      </c>
      <c r="K76" s="135" t="s">
        <v>25</v>
      </c>
      <c r="L76" s="147"/>
      <c r="M76" s="146">
        <v>46203</v>
      </c>
      <c r="N76" s="135" t="s">
        <v>47</v>
      </c>
      <c r="O76" s="135"/>
      <c r="P76" s="135"/>
      <c r="Q76" s="135"/>
      <c r="R76" s="135" t="s">
        <v>47</v>
      </c>
      <c r="S76" s="135" t="s">
        <v>52</v>
      </c>
      <c r="T76" s="135" t="s">
        <v>70</v>
      </c>
      <c r="U76" s="135">
        <v>12</v>
      </c>
    </row>
    <row r="77" spans="1:21" ht="13" customHeight="1" x14ac:dyDescent="0.35">
      <c r="A77" s="121">
        <v>76</v>
      </c>
      <c r="B77" s="126">
        <v>2026</v>
      </c>
      <c r="C77" s="128" t="s">
        <v>681</v>
      </c>
      <c r="D77" s="135" t="s">
        <v>19</v>
      </c>
      <c r="E77" s="135" t="s">
        <v>20</v>
      </c>
      <c r="F77" s="135" t="s">
        <v>1029</v>
      </c>
      <c r="G77" s="135" t="s">
        <v>50</v>
      </c>
      <c r="H77" s="135" t="s">
        <v>44</v>
      </c>
      <c r="I77" s="135" t="s">
        <v>23</v>
      </c>
      <c r="J77" s="135" t="s">
        <v>24</v>
      </c>
      <c r="K77" s="135" t="s">
        <v>25</v>
      </c>
      <c r="L77" s="147"/>
      <c r="M77" s="146">
        <v>46267</v>
      </c>
      <c r="N77" s="135" t="s">
        <v>36</v>
      </c>
      <c r="O77" s="135" t="s">
        <v>36</v>
      </c>
      <c r="P77" s="135"/>
      <c r="Q77" s="135"/>
      <c r="R77" s="135" t="s">
        <v>36</v>
      </c>
      <c r="S77" s="135" t="s">
        <v>28</v>
      </c>
      <c r="T77" s="135" t="s">
        <v>29</v>
      </c>
      <c r="U77" s="135">
        <v>3</v>
      </c>
    </row>
    <row r="78" spans="1:21" ht="13" customHeight="1" x14ac:dyDescent="0.35">
      <c r="A78" s="121">
        <v>77</v>
      </c>
      <c r="B78" s="126">
        <v>2026</v>
      </c>
      <c r="C78" s="128" t="s">
        <v>681</v>
      </c>
      <c r="D78" s="135" t="s">
        <v>19</v>
      </c>
      <c r="E78" s="135" t="s">
        <v>20</v>
      </c>
      <c r="F78" s="135" t="s">
        <v>1030</v>
      </c>
      <c r="G78" s="135"/>
      <c r="H78" s="135" t="s">
        <v>44</v>
      </c>
      <c r="I78" s="135" t="s">
        <v>23</v>
      </c>
      <c r="J78" s="135" t="s">
        <v>93</v>
      </c>
      <c r="K78" s="135" t="s">
        <v>25</v>
      </c>
      <c r="L78" s="147"/>
      <c r="M78" s="146">
        <v>46301</v>
      </c>
      <c r="N78" s="135" t="s">
        <v>36</v>
      </c>
      <c r="O78" s="135" t="s">
        <v>36</v>
      </c>
      <c r="P78" s="135"/>
      <c r="Q78" s="135"/>
      <c r="R78" s="135" t="s">
        <v>36</v>
      </c>
      <c r="S78" s="135" t="s">
        <v>28</v>
      </c>
      <c r="T78" s="135" t="s">
        <v>95</v>
      </c>
      <c r="U78" s="135"/>
    </row>
  </sheetData>
  <autoFilter ref="A1:V57" xr:uid="{0D008F4A-4F7B-4D00-B2B1-5D1E4C2AF094}"/>
  <phoneticPr fontId="42" type="noConversion"/>
  <dataValidations count="7">
    <dataValidation type="date" allowBlank="1" showInputMessage="1" showErrorMessage="1" sqref="U1 U49:U61 M76:M1048576 M49:M61 U66:U1048576 M66:M74" xr:uid="{53C03EB9-171C-49BE-A2B1-76486CCC2F4C}">
      <formula1>46023</formula1>
      <formula2>46387</formula2>
    </dataValidation>
    <dataValidation type="whole" allowBlank="1" showInputMessage="1" showErrorMessage="1" promptTitle="Hint" prompt="It should be in months" sqref="U2:U26 V1 U28:U56 U58:U61 U66:U78 V79:V1048576" xr:uid="{AC6A3088-3943-48BB-8581-3772A4F7A436}">
      <formula1>1</formula1>
      <formula2>60</formula2>
    </dataValidation>
    <dataValidation type="textLength" allowBlank="1" showInputMessage="1" showErrorMessage="1" promptTitle="Hint" prompt="Kindly start will a capital letter for each country followed by small letters and separate with a comma if many countries are covered. " sqref="J2:J26 J28:J30 J33:J57 J73:J78 J66:J71" xr:uid="{FE944B7F-8401-41E2-A7A9-05FCF5FC5740}">
      <formula1>4</formula1>
      <formula2>250</formula2>
    </dataValidation>
    <dataValidation type="date" allowBlank="1" showInputMessage="1" showErrorMessage="1" sqref="M1" xr:uid="{7A52686E-5899-47D3-ACC6-8A83447D5876}">
      <formula1>46023</formula1>
      <formula2>46023</formula2>
    </dataValidation>
    <dataValidation type="textLength" allowBlank="1" showInputMessage="1" showErrorMessage="1" sqref="Q53:Q57 Q2:Q26 Q28:Q50 Q66:Q78" xr:uid="{FF6B48E8-CC67-4EEF-BBB3-375F874EFDC6}">
      <formula1>3</formula1>
      <formula2>300</formula2>
    </dataValidation>
    <dataValidation type="date" allowBlank="1" showInputMessage="1" showErrorMessage="1" sqref="M2:M48" xr:uid="{D318F734-81F7-4F25-AE17-35B336CF8306}">
      <formula1>45658</formula1>
      <formula2>46022</formula2>
    </dataValidation>
    <dataValidation type="list" allowBlank="1" showInputMessage="1" showErrorMessage="1" sqref="T27:U27" xr:uid="{56D94AC4-9BC4-426E-9A26-EB7281060B06}">
      <formula1>Status</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F4377-AB0D-4AD1-9A42-D0995505B602}">
  <dimension ref="A1:W217"/>
  <sheetViews>
    <sheetView showGridLines="0" zoomScale="80" zoomScaleNormal="80" workbookViewId="0">
      <selection activeCell="U209" sqref="U209"/>
    </sheetView>
  </sheetViews>
  <sheetFormatPr defaultRowHeight="10" customHeight="1" x14ac:dyDescent="0.25"/>
  <cols>
    <col min="1" max="1" width="8.81640625" style="1" bestFit="1" customWidth="1"/>
    <col min="2" max="2" width="8.81640625" style="53" bestFit="1" customWidth="1"/>
    <col min="3" max="3" width="8.7265625" style="58"/>
    <col min="4" max="11" width="8.7265625" style="53"/>
    <col min="12" max="12" width="21.1796875" style="42" customWidth="1"/>
    <col min="13" max="19" width="8.7265625" style="53"/>
    <col min="20" max="20" width="12.1796875" style="53" customWidth="1"/>
    <col min="21" max="21" width="8.7265625" style="53"/>
    <col min="22" max="22" width="17.08984375" style="53" customWidth="1"/>
    <col min="23" max="23" width="8.81640625" style="53" bestFit="1" customWidth="1"/>
    <col min="24" max="16384" width="8.7265625" style="53"/>
  </cols>
  <sheetData>
    <row r="1" spans="1:23" s="50" customFormat="1" ht="28.5" customHeight="1" x14ac:dyDescent="0.35">
      <c r="A1" s="43" t="s">
        <v>0</v>
      </c>
      <c r="B1" s="44" t="s">
        <v>514</v>
      </c>
      <c r="C1" s="45" t="s">
        <v>1</v>
      </c>
      <c r="D1" s="46" t="s">
        <v>2</v>
      </c>
      <c r="E1" s="46" t="s">
        <v>3</v>
      </c>
      <c r="F1" s="46" t="s">
        <v>4</v>
      </c>
      <c r="G1" s="46" t="s">
        <v>5</v>
      </c>
      <c r="H1" s="46" t="s">
        <v>6</v>
      </c>
      <c r="I1" s="46" t="s">
        <v>7</v>
      </c>
      <c r="J1" s="46" t="s">
        <v>511</v>
      </c>
      <c r="K1" s="46" t="s">
        <v>8</v>
      </c>
      <c r="L1" s="46" t="s">
        <v>9</v>
      </c>
      <c r="M1" s="46" t="s">
        <v>10</v>
      </c>
      <c r="N1" s="46" t="s">
        <v>11</v>
      </c>
      <c r="O1" s="46" t="s">
        <v>515</v>
      </c>
      <c r="P1" s="46" t="s">
        <v>12</v>
      </c>
      <c r="Q1" s="46" t="s">
        <v>13</v>
      </c>
      <c r="R1" s="46" t="s">
        <v>14</v>
      </c>
      <c r="S1" s="47" t="s">
        <v>15</v>
      </c>
      <c r="T1" s="48" t="s">
        <v>16</v>
      </c>
      <c r="U1" s="49" t="s">
        <v>98</v>
      </c>
      <c r="V1" s="49" t="s">
        <v>516</v>
      </c>
      <c r="W1" s="49" t="s">
        <v>18</v>
      </c>
    </row>
    <row r="2" spans="1:23" s="1" customFormat="1" ht="9.5" customHeight="1" x14ac:dyDescent="0.35">
      <c r="A2" s="70" cm="1">
        <f t="array" ref="A2:A201">_xlfn.SEQUENCE(COUNTA(B:B)-1)</f>
        <v>1</v>
      </c>
      <c r="B2" s="70">
        <v>2025</v>
      </c>
      <c r="C2" s="118" t="s">
        <v>76</v>
      </c>
      <c r="D2" s="38" t="s">
        <v>19</v>
      </c>
      <c r="E2" s="36" t="s">
        <v>20</v>
      </c>
      <c r="F2" s="38" t="s">
        <v>745</v>
      </c>
      <c r="G2" s="36" t="s">
        <v>21</v>
      </c>
      <c r="H2" s="36" t="s">
        <v>44</v>
      </c>
      <c r="I2" s="36" t="s">
        <v>23</v>
      </c>
      <c r="J2" s="36" t="s">
        <v>93</v>
      </c>
      <c r="K2" s="36" t="s">
        <v>58</v>
      </c>
      <c r="L2" s="36"/>
      <c r="M2" s="36"/>
      <c r="N2" s="36" t="s">
        <v>36</v>
      </c>
      <c r="O2" s="36"/>
      <c r="P2" s="36" t="s">
        <v>60</v>
      </c>
      <c r="Q2" s="36" t="s">
        <v>94</v>
      </c>
      <c r="R2" s="36" t="s">
        <v>90</v>
      </c>
      <c r="S2" s="36" t="s">
        <v>41</v>
      </c>
      <c r="T2" s="52">
        <v>250000</v>
      </c>
      <c r="U2" s="36" t="s">
        <v>49</v>
      </c>
      <c r="V2" s="36">
        <v>6</v>
      </c>
    </row>
    <row r="3" spans="1:23" s="1" customFormat="1" ht="9.5" customHeight="1" x14ac:dyDescent="0.35">
      <c r="A3" s="70">
        <v>2</v>
      </c>
      <c r="B3" s="70">
        <v>2025</v>
      </c>
      <c r="C3" s="118" t="s">
        <v>76</v>
      </c>
      <c r="D3" s="38" t="s">
        <v>55</v>
      </c>
      <c r="E3" s="36" t="s">
        <v>746</v>
      </c>
      <c r="F3" s="38" t="s">
        <v>747</v>
      </c>
      <c r="G3" s="36" t="s">
        <v>21</v>
      </c>
      <c r="H3" s="36"/>
      <c r="I3" s="36" t="s">
        <v>23</v>
      </c>
      <c r="J3" s="36" t="s">
        <v>748</v>
      </c>
      <c r="K3" s="36" t="s">
        <v>77</v>
      </c>
      <c r="L3" s="68">
        <v>45712</v>
      </c>
      <c r="M3" s="36" t="s">
        <v>47</v>
      </c>
      <c r="N3" s="36" t="s">
        <v>35</v>
      </c>
      <c r="O3" s="36" t="s">
        <v>78</v>
      </c>
      <c r="P3" s="36" t="s">
        <v>65</v>
      </c>
      <c r="Q3" s="36" t="s">
        <v>96</v>
      </c>
      <c r="R3" s="36" t="s">
        <v>36</v>
      </c>
      <c r="S3" s="36" t="s">
        <v>28</v>
      </c>
      <c r="T3" s="52">
        <v>196830.79</v>
      </c>
      <c r="U3" s="36" t="s">
        <v>70</v>
      </c>
      <c r="V3" s="36">
        <v>7</v>
      </c>
    </row>
    <row r="4" spans="1:23" s="1" customFormat="1" ht="9.5" customHeight="1" x14ac:dyDescent="0.35">
      <c r="A4" s="70">
        <v>3</v>
      </c>
      <c r="B4" s="70">
        <v>2025</v>
      </c>
      <c r="C4" s="118" t="s">
        <v>76</v>
      </c>
      <c r="D4" s="38" t="s">
        <v>19</v>
      </c>
      <c r="E4" s="38" t="s">
        <v>42</v>
      </c>
      <c r="F4" s="38" t="s">
        <v>749</v>
      </c>
      <c r="G4" s="38" t="s">
        <v>56</v>
      </c>
      <c r="H4" s="36" t="s">
        <v>80</v>
      </c>
      <c r="I4" s="36" t="s">
        <v>23</v>
      </c>
      <c r="J4" s="36" t="s">
        <v>97</v>
      </c>
      <c r="K4" s="38" t="s">
        <v>25</v>
      </c>
      <c r="L4" s="68">
        <v>45713</v>
      </c>
      <c r="M4" s="36" t="s">
        <v>48</v>
      </c>
      <c r="N4" s="36" t="s">
        <v>36</v>
      </c>
      <c r="O4" s="36" t="s">
        <v>89</v>
      </c>
      <c r="P4" s="36"/>
      <c r="Q4" s="38" t="s">
        <v>750</v>
      </c>
      <c r="R4" s="36" t="s">
        <v>48</v>
      </c>
      <c r="S4" s="36" t="s">
        <v>90</v>
      </c>
      <c r="T4" s="52">
        <v>172056.86</v>
      </c>
      <c r="U4" s="36" t="s">
        <v>98</v>
      </c>
      <c r="V4" s="36">
        <v>12</v>
      </c>
    </row>
    <row r="5" spans="1:23" s="1" customFormat="1" ht="9.5" customHeight="1" x14ac:dyDescent="0.35">
      <c r="A5" s="70">
        <v>4</v>
      </c>
      <c r="B5" s="70">
        <v>2025</v>
      </c>
      <c r="C5" s="118" t="s">
        <v>76</v>
      </c>
      <c r="D5" s="38" t="s">
        <v>55</v>
      </c>
      <c r="E5" s="38" t="s">
        <v>751</v>
      </c>
      <c r="F5" s="38" t="s">
        <v>752</v>
      </c>
      <c r="G5" s="38" t="s">
        <v>21</v>
      </c>
      <c r="H5" s="36" t="s">
        <v>40</v>
      </c>
      <c r="I5" s="36" t="s">
        <v>23</v>
      </c>
      <c r="J5" s="36" t="s">
        <v>24</v>
      </c>
      <c r="K5" s="38" t="s">
        <v>85</v>
      </c>
      <c r="L5" s="68">
        <v>45811</v>
      </c>
      <c r="M5" s="36" t="s">
        <v>47</v>
      </c>
      <c r="N5" s="36" t="s">
        <v>65</v>
      </c>
      <c r="O5" s="36" t="s">
        <v>61</v>
      </c>
      <c r="P5" s="36"/>
      <c r="Q5" s="38" t="s">
        <v>753</v>
      </c>
      <c r="R5" s="36" t="s">
        <v>48</v>
      </c>
      <c r="S5" s="36" t="s">
        <v>28</v>
      </c>
      <c r="T5" s="52">
        <v>79473</v>
      </c>
      <c r="U5" s="36" t="s">
        <v>70</v>
      </c>
      <c r="V5" s="36">
        <v>7</v>
      </c>
    </row>
    <row r="6" spans="1:23" s="1" customFormat="1" ht="9.5" customHeight="1" x14ac:dyDescent="0.35">
      <c r="A6" s="70">
        <v>5</v>
      </c>
      <c r="B6" s="70">
        <v>2025</v>
      </c>
      <c r="C6" s="118" t="s">
        <v>76</v>
      </c>
      <c r="D6" s="38" t="s">
        <v>55</v>
      </c>
      <c r="E6" s="38" t="s">
        <v>754</v>
      </c>
      <c r="F6" s="38" t="s">
        <v>755</v>
      </c>
      <c r="G6" s="36" t="s">
        <v>21</v>
      </c>
      <c r="H6" s="36" t="s">
        <v>40</v>
      </c>
      <c r="I6" s="36" t="s">
        <v>62</v>
      </c>
      <c r="J6" s="36" t="s">
        <v>24</v>
      </c>
      <c r="K6" s="38" t="s">
        <v>25</v>
      </c>
      <c r="L6" s="68">
        <v>45686</v>
      </c>
      <c r="M6" s="36" t="s">
        <v>35</v>
      </c>
      <c r="N6" s="36" t="s">
        <v>65</v>
      </c>
      <c r="O6" s="36" t="s">
        <v>37</v>
      </c>
      <c r="P6" s="36"/>
      <c r="Q6" s="36" t="s">
        <v>756</v>
      </c>
      <c r="R6" s="36" t="s">
        <v>47</v>
      </c>
      <c r="S6" s="36" t="s">
        <v>37</v>
      </c>
      <c r="T6" s="52">
        <v>986970</v>
      </c>
      <c r="U6" s="36" t="s">
        <v>70</v>
      </c>
      <c r="V6" s="36">
        <v>12</v>
      </c>
    </row>
    <row r="7" spans="1:23" s="1" customFormat="1" ht="9.5" customHeight="1" x14ac:dyDescent="0.35">
      <c r="A7" s="70">
        <v>6</v>
      </c>
      <c r="B7" s="70">
        <v>2025</v>
      </c>
      <c r="C7" s="118" t="s">
        <v>76</v>
      </c>
      <c r="D7" s="38" t="s">
        <v>55</v>
      </c>
      <c r="E7" s="38" t="s">
        <v>99</v>
      </c>
      <c r="F7" s="38" t="s">
        <v>757</v>
      </c>
      <c r="G7" s="38" t="s">
        <v>56</v>
      </c>
      <c r="H7" s="36" t="s">
        <v>80</v>
      </c>
      <c r="I7" s="36" t="s">
        <v>23</v>
      </c>
      <c r="J7" s="36" t="s">
        <v>24</v>
      </c>
      <c r="K7" s="36" t="s">
        <v>77</v>
      </c>
      <c r="L7" s="68">
        <v>45665</v>
      </c>
      <c r="M7" s="36" t="s">
        <v>35</v>
      </c>
      <c r="N7" s="36" t="s">
        <v>53</v>
      </c>
      <c r="O7" s="36" t="s">
        <v>82</v>
      </c>
      <c r="P7" s="36"/>
      <c r="Q7" s="36"/>
      <c r="R7" s="36" t="s">
        <v>100</v>
      </c>
      <c r="S7" s="36" t="s">
        <v>82</v>
      </c>
      <c r="T7" s="52">
        <v>46355</v>
      </c>
      <c r="U7" s="36" t="s">
        <v>98</v>
      </c>
      <c r="V7" s="36">
        <v>6</v>
      </c>
    </row>
    <row r="8" spans="1:23" s="1" customFormat="1" ht="9.5" customHeight="1" x14ac:dyDescent="0.35">
      <c r="A8" s="70">
        <v>7</v>
      </c>
      <c r="B8" s="70">
        <v>2025</v>
      </c>
      <c r="C8" s="118" t="s">
        <v>76</v>
      </c>
      <c r="D8" s="38" t="s">
        <v>19</v>
      </c>
      <c r="E8" s="38" t="s">
        <v>20</v>
      </c>
      <c r="F8" s="38" t="s">
        <v>758</v>
      </c>
      <c r="G8" s="36" t="s">
        <v>21</v>
      </c>
      <c r="H8" s="38" t="s">
        <v>44</v>
      </c>
      <c r="I8" s="36" t="s">
        <v>23</v>
      </c>
      <c r="J8" s="36" t="s">
        <v>647</v>
      </c>
      <c r="K8" s="38" t="s">
        <v>25</v>
      </c>
      <c r="L8" s="68">
        <v>45740</v>
      </c>
      <c r="M8" s="36" t="s">
        <v>65</v>
      </c>
      <c r="N8" s="36" t="s">
        <v>59</v>
      </c>
      <c r="O8" s="36" t="s">
        <v>90</v>
      </c>
      <c r="P8" s="36" t="s">
        <v>60</v>
      </c>
      <c r="Q8" s="36" t="s">
        <v>72</v>
      </c>
      <c r="R8" s="36" t="s">
        <v>36</v>
      </c>
      <c r="S8" s="36" t="s">
        <v>41</v>
      </c>
      <c r="T8" s="52">
        <v>549442.25</v>
      </c>
      <c r="U8" s="36" t="s">
        <v>98</v>
      </c>
      <c r="V8" s="36">
        <v>8</v>
      </c>
    </row>
    <row r="9" spans="1:23" s="1" customFormat="1" ht="9.5" customHeight="1" x14ac:dyDescent="0.35">
      <c r="A9" s="70">
        <v>8</v>
      </c>
      <c r="B9" s="70">
        <v>2025</v>
      </c>
      <c r="C9" s="118" t="s">
        <v>76</v>
      </c>
      <c r="D9" s="38" t="s">
        <v>55</v>
      </c>
      <c r="E9" s="38" t="s">
        <v>759</v>
      </c>
      <c r="F9" s="38" t="s">
        <v>760</v>
      </c>
      <c r="G9" s="36" t="s">
        <v>50</v>
      </c>
      <c r="H9" s="36" t="s">
        <v>51</v>
      </c>
      <c r="I9" s="36" t="s">
        <v>23</v>
      </c>
      <c r="J9" s="38" t="s">
        <v>761</v>
      </c>
      <c r="K9" s="36" t="s">
        <v>77</v>
      </c>
      <c r="L9" s="68">
        <v>45670</v>
      </c>
      <c r="M9" s="36" t="s">
        <v>35</v>
      </c>
      <c r="N9" s="36" t="s">
        <v>78</v>
      </c>
      <c r="O9" s="36" t="s">
        <v>78</v>
      </c>
      <c r="P9" s="36"/>
      <c r="Q9" s="36" t="s">
        <v>101</v>
      </c>
      <c r="R9" s="36" t="s">
        <v>78</v>
      </c>
      <c r="S9" s="36" t="s">
        <v>54</v>
      </c>
      <c r="T9" s="52">
        <v>357256</v>
      </c>
      <c r="U9" s="36" t="s">
        <v>70</v>
      </c>
      <c r="V9" s="36">
        <v>18</v>
      </c>
    </row>
    <row r="10" spans="1:23" s="1" customFormat="1" ht="9.5" customHeight="1" x14ac:dyDescent="0.35">
      <c r="A10" s="70">
        <v>9</v>
      </c>
      <c r="B10" s="70">
        <v>2025</v>
      </c>
      <c r="C10" s="118" t="s">
        <v>76</v>
      </c>
      <c r="D10" s="38" t="s">
        <v>63</v>
      </c>
      <c r="E10" s="38" t="s">
        <v>762</v>
      </c>
      <c r="F10" s="38" t="s">
        <v>763</v>
      </c>
      <c r="G10" s="36" t="s">
        <v>50</v>
      </c>
      <c r="H10" s="36" t="s">
        <v>80</v>
      </c>
      <c r="I10" s="36" t="s">
        <v>23</v>
      </c>
      <c r="J10" s="36" t="s">
        <v>764</v>
      </c>
      <c r="K10" s="36" t="s">
        <v>85</v>
      </c>
      <c r="L10" s="68">
        <v>45726</v>
      </c>
      <c r="M10" s="36" t="s">
        <v>47</v>
      </c>
      <c r="N10" s="36" t="s">
        <v>41</v>
      </c>
      <c r="O10" s="36" t="s">
        <v>78</v>
      </c>
      <c r="P10" s="36"/>
      <c r="Q10" s="36"/>
      <c r="R10" s="36" t="s">
        <v>78</v>
      </c>
      <c r="S10" s="36" t="s">
        <v>37</v>
      </c>
      <c r="T10" s="52">
        <v>29396</v>
      </c>
      <c r="U10" s="36" t="s">
        <v>98</v>
      </c>
      <c r="V10" s="36">
        <v>3</v>
      </c>
    </row>
    <row r="11" spans="1:23" s="1" customFormat="1" ht="9.5" customHeight="1" x14ac:dyDescent="0.35">
      <c r="A11" s="70">
        <v>10</v>
      </c>
      <c r="B11" s="70">
        <v>2025</v>
      </c>
      <c r="C11" s="118" t="s">
        <v>76</v>
      </c>
      <c r="D11" s="38" t="s">
        <v>63</v>
      </c>
      <c r="E11" s="38" t="s">
        <v>765</v>
      </c>
      <c r="F11" s="38" t="s">
        <v>766</v>
      </c>
      <c r="G11" s="36" t="s">
        <v>21</v>
      </c>
      <c r="H11" s="36" t="s">
        <v>22</v>
      </c>
      <c r="I11" s="36" t="s">
        <v>23</v>
      </c>
      <c r="J11" s="36" t="s">
        <v>31</v>
      </c>
      <c r="K11" s="36" t="s">
        <v>85</v>
      </c>
      <c r="L11" s="68">
        <v>45709</v>
      </c>
      <c r="M11" s="36" t="s">
        <v>27</v>
      </c>
      <c r="N11" s="36" t="s">
        <v>36</v>
      </c>
      <c r="O11" s="36" t="s">
        <v>27</v>
      </c>
      <c r="P11" s="36"/>
      <c r="Q11" s="36"/>
      <c r="R11" s="36" t="s">
        <v>67</v>
      </c>
      <c r="S11" s="36" t="s">
        <v>37</v>
      </c>
      <c r="T11" s="52">
        <v>28141</v>
      </c>
      <c r="U11" s="36" t="s">
        <v>98</v>
      </c>
      <c r="V11" s="36">
        <v>1</v>
      </c>
    </row>
    <row r="12" spans="1:23" s="1" customFormat="1" ht="9.5" customHeight="1" x14ac:dyDescent="0.35">
      <c r="A12" s="70">
        <v>11</v>
      </c>
      <c r="B12" s="70">
        <v>2025</v>
      </c>
      <c r="C12" s="118" t="s">
        <v>76</v>
      </c>
      <c r="D12" s="38" t="s">
        <v>30</v>
      </c>
      <c r="E12" s="38" t="s">
        <v>767</v>
      </c>
      <c r="F12" s="38" t="s">
        <v>768</v>
      </c>
      <c r="G12" s="36" t="s">
        <v>79</v>
      </c>
      <c r="H12" s="36" t="s">
        <v>22</v>
      </c>
      <c r="I12" s="36" t="s">
        <v>23</v>
      </c>
      <c r="J12" s="36" t="s">
        <v>769</v>
      </c>
      <c r="K12" s="36" t="s">
        <v>58</v>
      </c>
      <c r="L12" s="68">
        <v>45702</v>
      </c>
      <c r="M12" s="36" t="s">
        <v>32</v>
      </c>
      <c r="N12" s="36" t="s">
        <v>36</v>
      </c>
      <c r="O12" s="36" t="s">
        <v>32</v>
      </c>
      <c r="P12" s="36"/>
      <c r="Q12" s="36" t="s">
        <v>102</v>
      </c>
      <c r="R12" s="36" t="s">
        <v>32</v>
      </c>
      <c r="S12" s="36" t="s">
        <v>28</v>
      </c>
      <c r="T12" s="52">
        <v>99911.12</v>
      </c>
      <c r="U12" s="36" t="s">
        <v>98</v>
      </c>
      <c r="V12" s="36">
        <v>6</v>
      </c>
    </row>
    <row r="13" spans="1:23" s="1" customFormat="1" ht="9.5" customHeight="1" x14ac:dyDescent="0.35">
      <c r="A13" s="70">
        <v>12</v>
      </c>
      <c r="B13" s="70">
        <v>2025</v>
      </c>
      <c r="C13" s="118" t="s">
        <v>76</v>
      </c>
      <c r="D13" s="38" t="s">
        <v>63</v>
      </c>
      <c r="E13" s="38" t="s">
        <v>103</v>
      </c>
      <c r="F13" s="38" t="s">
        <v>770</v>
      </c>
      <c r="G13" s="36" t="s">
        <v>79</v>
      </c>
      <c r="H13" s="36" t="s">
        <v>22</v>
      </c>
      <c r="I13" s="36" t="s">
        <v>104</v>
      </c>
      <c r="J13" s="36" t="s">
        <v>24</v>
      </c>
      <c r="K13" s="36" t="s">
        <v>25</v>
      </c>
      <c r="L13" s="68">
        <v>45739</v>
      </c>
      <c r="M13" s="36" t="s">
        <v>32</v>
      </c>
      <c r="N13" s="36" t="s">
        <v>35</v>
      </c>
      <c r="O13" s="36" t="s">
        <v>60</v>
      </c>
      <c r="P13" s="36"/>
      <c r="Q13" s="36" t="s">
        <v>105</v>
      </c>
      <c r="R13" s="36" t="s">
        <v>32</v>
      </c>
      <c r="S13" s="36" t="s">
        <v>43</v>
      </c>
      <c r="T13" s="52">
        <v>106326.93243243244</v>
      </c>
      <c r="U13" s="36" t="s">
        <v>49</v>
      </c>
      <c r="V13" s="36">
        <v>6</v>
      </c>
    </row>
    <row r="14" spans="1:23" s="1" customFormat="1" ht="9.5" customHeight="1" x14ac:dyDescent="0.35">
      <c r="A14" s="70">
        <v>13</v>
      </c>
      <c r="B14" s="70">
        <v>2025</v>
      </c>
      <c r="C14" s="118" t="s">
        <v>76</v>
      </c>
      <c r="D14" s="38" t="s">
        <v>30</v>
      </c>
      <c r="E14" s="38" t="s">
        <v>771</v>
      </c>
      <c r="F14" s="38" t="s">
        <v>772</v>
      </c>
      <c r="G14" s="36" t="s">
        <v>79</v>
      </c>
      <c r="H14" s="36" t="s">
        <v>22</v>
      </c>
      <c r="I14" s="36" t="s">
        <v>104</v>
      </c>
      <c r="J14" s="36" t="s">
        <v>773</v>
      </c>
      <c r="K14" s="36" t="s">
        <v>25</v>
      </c>
      <c r="L14" s="68">
        <v>45737</v>
      </c>
      <c r="M14" s="36" t="s">
        <v>53</v>
      </c>
      <c r="N14" s="36" t="s">
        <v>60</v>
      </c>
      <c r="O14" s="36"/>
      <c r="P14" s="36" t="s">
        <v>37</v>
      </c>
      <c r="Q14" s="36" t="s">
        <v>774</v>
      </c>
      <c r="R14" s="36" t="s">
        <v>32</v>
      </c>
      <c r="S14" s="36" t="s">
        <v>43</v>
      </c>
      <c r="T14" s="52">
        <v>350283</v>
      </c>
      <c r="U14" s="36" t="s">
        <v>70</v>
      </c>
      <c r="V14" s="36">
        <v>6</v>
      </c>
    </row>
    <row r="15" spans="1:23" s="1" customFormat="1" ht="9.5" customHeight="1" x14ac:dyDescent="0.35">
      <c r="A15" s="70">
        <v>14</v>
      </c>
      <c r="B15" s="70">
        <v>2025</v>
      </c>
      <c r="C15" s="118" t="s">
        <v>76</v>
      </c>
      <c r="D15" s="38" t="s">
        <v>30</v>
      </c>
      <c r="E15" s="38" t="s">
        <v>775</v>
      </c>
      <c r="F15" s="38" t="s">
        <v>776</v>
      </c>
      <c r="G15" s="36" t="s">
        <v>21</v>
      </c>
      <c r="H15" s="36" t="s">
        <v>51</v>
      </c>
      <c r="I15" s="36" t="s">
        <v>23</v>
      </c>
      <c r="J15" s="36" t="s">
        <v>106</v>
      </c>
      <c r="K15" s="36" t="s">
        <v>25</v>
      </c>
      <c r="L15" s="68">
        <v>45740</v>
      </c>
      <c r="M15" s="36" t="s">
        <v>36</v>
      </c>
      <c r="N15" s="36" t="s">
        <v>36</v>
      </c>
      <c r="O15" s="36" t="s">
        <v>78</v>
      </c>
      <c r="P15" s="36"/>
      <c r="Q15" s="36"/>
      <c r="R15" s="36" t="s">
        <v>36</v>
      </c>
      <c r="S15" s="36" t="s">
        <v>78</v>
      </c>
      <c r="T15" s="52">
        <v>217639</v>
      </c>
      <c r="U15" s="36" t="s">
        <v>49</v>
      </c>
      <c r="V15" s="36">
        <v>5</v>
      </c>
    </row>
    <row r="16" spans="1:23" s="1" customFormat="1" ht="9.5" customHeight="1" x14ac:dyDescent="0.35">
      <c r="A16" s="70">
        <v>15</v>
      </c>
      <c r="B16" s="70">
        <v>2025</v>
      </c>
      <c r="C16" s="118" t="s">
        <v>76</v>
      </c>
      <c r="D16" s="38" t="s">
        <v>30</v>
      </c>
      <c r="E16" s="38" t="s">
        <v>775</v>
      </c>
      <c r="F16" s="38" t="s">
        <v>776</v>
      </c>
      <c r="G16" s="36" t="s">
        <v>21</v>
      </c>
      <c r="H16" s="36"/>
      <c r="I16" s="36" t="s">
        <v>23</v>
      </c>
      <c r="J16" s="36" t="s">
        <v>88</v>
      </c>
      <c r="K16" s="36" t="s">
        <v>25</v>
      </c>
      <c r="L16" s="68">
        <v>45740</v>
      </c>
      <c r="M16" s="36"/>
      <c r="N16" s="36"/>
      <c r="O16" s="36" t="s">
        <v>28</v>
      </c>
      <c r="P16" s="36"/>
      <c r="Q16" s="36"/>
      <c r="R16" s="36"/>
      <c r="S16" s="36" t="s">
        <v>28</v>
      </c>
      <c r="T16" s="52"/>
      <c r="U16" s="38" t="s">
        <v>38</v>
      </c>
      <c r="V16" s="36"/>
    </row>
    <row r="17" spans="1:22" s="1" customFormat="1" ht="9.5" customHeight="1" x14ac:dyDescent="0.35">
      <c r="A17" s="70">
        <v>16</v>
      </c>
      <c r="B17" s="70">
        <v>2025</v>
      </c>
      <c r="C17" s="118" t="s">
        <v>76</v>
      </c>
      <c r="D17" s="38" t="s">
        <v>30</v>
      </c>
      <c r="E17" s="38" t="s">
        <v>775</v>
      </c>
      <c r="F17" s="38" t="s">
        <v>776</v>
      </c>
      <c r="G17" s="36" t="s">
        <v>21</v>
      </c>
      <c r="H17" s="38" t="s">
        <v>44</v>
      </c>
      <c r="I17" s="36" t="s">
        <v>23</v>
      </c>
      <c r="J17" s="36" t="s">
        <v>24</v>
      </c>
      <c r="K17" s="36" t="s">
        <v>25</v>
      </c>
      <c r="L17" s="68">
        <v>45740</v>
      </c>
      <c r="M17" s="36" t="s">
        <v>65</v>
      </c>
      <c r="N17" s="36" t="s">
        <v>65</v>
      </c>
      <c r="O17" s="36" t="s">
        <v>37</v>
      </c>
      <c r="P17" s="36"/>
      <c r="Q17" s="36" t="s">
        <v>107</v>
      </c>
      <c r="R17" s="36" t="s">
        <v>65</v>
      </c>
      <c r="S17" s="36" t="s">
        <v>37</v>
      </c>
      <c r="T17" s="52">
        <v>293692</v>
      </c>
      <c r="U17" s="36" t="s">
        <v>70</v>
      </c>
      <c r="V17" s="36">
        <v>10</v>
      </c>
    </row>
    <row r="18" spans="1:22" s="1" customFormat="1" ht="9.5" customHeight="1" x14ac:dyDescent="0.35">
      <c r="A18" s="70">
        <v>17</v>
      </c>
      <c r="B18" s="70">
        <v>2025</v>
      </c>
      <c r="C18" s="118" t="s">
        <v>76</v>
      </c>
      <c r="D18" s="38" t="s">
        <v>55</v>
      </c>
      <c r="E18" s="38" t="s">
        <v>64</v>
      </c>
      <c r="F18" s="38" t="s">
        <v>777</v>
      </c>
      <c r="G18" s="36" t="s">
        <v>21</v>
      </c>
      <c r="H18" s="36" t="s">
        <v>80</v>
      </c>
      <c r="I18" s="36" t="s">
        <v>23</v>
      </c>
      <c r="J18" s="36" t="s">
        <v>778</v>
      </c>
      <c r="K18" s="38" t="s">
        <v>25</v>
      </c>
      <c r="L18" s="68">
        <v>45742</v>
      </c>
      <c r="M18" s="36" t="s">
        <v>47</v>
      </c>
      <c r="N18" s="36" t="s">
        <v>35</v>
      </c>
      <c r="O18" s="36" t="s">
        <v>78</v>
      </c>
      <c r="P18" s="36"/>
      <c r="Q18" s="36"/>
      <c r="R18" s="36" t="s">
        <v>78</v>
      </c>
      <c r="S18" s="36" t="s">
        <v>37</v>
      </c>
      <c r="T18" s="52">
        <v>35580</v>
      </c>
      <c r="U18" s="36" t="s">
        <v>70</v>
      </c>
      <c r="V18" s="36">
        <v>2</v>
      </c>
    </row>
    <row r="19" spans="1:22" s="1" customFormat="1" ht="9.5" customHeight="1" x14ac:dyDescent="0.35">
      <c r="A19" s="70">
        <v>18</v>
      </c>
      <c r="B19" s="70">
        <v>2025</v>
      </c>
      <c r="C19" s="118" t="s">
        <v>76</v>
      </c>
      <c r="D19" s="38" t="s">
        <v>55</v>
      </c>
      <c r="E19" s="38" t="s">
        <v>779</v>
      </c>
      <c r="F19" s="38" t="s">
        <v>780</v>
      </c>
      <c r="G19" s="36" t="s">
        <v>39</v>
      </c>
      <c r="H19" s="36" t="s">
        <v>44</v>
      </c>
      <c r="I19" s="36" t="s">
        <v>23</v>
      </c>
      <c r="J19" s="36" t="s">
        <v>108</v>
      </c>
      <c r="K19" s="36" t="s">
        <v>25</v>
      </c>
      <c r="L19" s="68">
        <v>45742</v>
      </c>
      <c r="M19" s="36" t="s">
        <v>65</v>
      </c>
      <c r="N19" s="36" t="s">
        <v>109</v>
      </c>
      <c r="O19" s="36" t="s">
        <v>61</v>
      </c>
      <c r="P19" s="36" t="s">
        <v>43</v>
      </c>
      <c r="Q19" s="36" t="s">
        <v>110</v>
      </c>
      <c r="R19" s="36" t="s">
        <v>60</v>
      </c>
      <c r="S19" s="36" t="s">
        <v>41</v>
      </c>
      <c r="T19" s="52"/>
      <c r="U19" s="36" t="s">
        <v>49</v>
      </c>
      <c r="V19" s="36"/>
    </row>
    <row r="20" spans="1:22" s="1" customFormat="1" ht="9.5" customHeight="1" x14ac:dyDescent="0.35">
      <c r="A20" s="70">
        <v>19</v>
      </c>
      <c r="B20" s="70">
        <v>2025</v>
      </c>
      <c r="C20" s="118" t="s">
        <v>87</v>
      </c>
      <c r="D20" s="38" t="s">
        <v>781</v>
      </c>
      <c r="E20" s="38" t="s">
        <v>782</v>
      </c>
      <c r="F20" s="38" t="s">
        <v>783</v>
      </c>
      <c r="G20" s="38" t="s">
        <v>34</v>
      </c>
      <c r="H20" s="36" t="s">
        <v>80</v>
      </c>
      <c r="I20" s="36" t="s">
        <v>23</v>
      </c>
      <c r="J20" s="36" t="s">
        <v>106</v>
      </c>
      <c r="K20" s="36" t="s">
        <v>58</v>
      </c>
      <c r="L20" s="68">
        <v>45751</v>
      </c>
      <c r="M20" s="36" t="s">
        <v>53</v>
      </c>
      <c r="N20" s="36" t="s">
        <v>78</v>
      </c>
      <c r="O20" s="36" t="s">
        <v>78</v>
      </c>
      <c r="P20" s="36"/>
      <c r="Q20" s="36"/>
      <c r="R20" s="36" t="s">
        <v>78</v>
      </c>
      <c r="S20" s="36" t="s">
        <v>41</v>
      </c>
      <c r="T20" s="52">
        <v>40878</v>
      </c>
      <c r="U20" s="38" t="s">
        <v>49</v>
      </c>
      <c r="V20" s="36">
        <v>4</v>
      </c>
    </row>
    <row r="21" spans="1:22" s="1" customFormat="1" ht="9.5" customHeight="1" x14ac:dyDescent="0.35">
      <c r="A21" s="70">
        <v>20</v>
      </c>
      <c r="B21" s="70">
        <v>2025</v>
      </c>
      <c r="C21" s="118" t="s">
        <v>681</v>
      </c>
      <c r="D21" s="38" t="s">
        <v>83</v>
      </c>
      <c r="E21" s="38" t="s">
        <v>111</v>
      </c>
      <c r="F21" s="95" t="s">
        <v>784</v>
      </c>
      <c r="G21" s="36" t="s">
        <v>79</v>
      </c>
      <c r="H21" s="36" t="s">
        <v>51</v>
      </c>
      <c r="I21" s="36" t="s">
        <v>62</v>
      </c>
      <c r="J21" s="36" t="s">
        <v>24</v>
      </c>
      <c r="K21" s="36" t="s">
        <v>58</v>
      </c>
      <c r="L21" s="68">
        <v>45754</v>
      </c>
      <c r="M21" s="36"/>
      <c r="N21" s="36" t="s">
        <v>43</v>
      </c>
      <c r="O21" s="36" t="s">
        <v>43</v>
      </c>
      <c r="P21" s="36"/>
      <c r="Q21" s="36"/>
      <c r="R21" s="36" t="s">
        <v>90</v>
      </c>
      <c r="S21" s="36" t="s">
        <v>54</v>
      </c>
      <c r="T21" s="52">
        <v>25002.58</v>
      </c>
      <c r="U21" s="36" t="s">
        <v>49</v>
      </c>
      <c r="V21" s="36">
        <v>36</v>
      </c>
    </row>
    <row r="22" spans="1:22" s="1" customFormat="1" ht="9.5" customHeight="1" x14ac:dyDescent="0.35">
      <c r="A22" s="70">
        <v>21</v>
      </c>
      <c r="B22" s="70">
        <v>2025</v>
      </c>
      <c r="C22" s="118" t="s">
        <v>716</v>
      </c>
      <c r="D22" s="38" t="s">
        <v>112</v>
      </c>
      <c r="E22" s="38" t="s">
        <v>785</v>
      </c>
      <c r="F22" s="38" t="s">
        <v>786</v>
      </c>
      <c r="G22" s="36" t="s">
        <v>21</v>
      </c>
      <c r="H22" s="36" t="s">
        <v>80</v>
      </c>
      <c r="I22" s="36" t="s">
        <v>23</v>
      </c>
      <c r="J22" s="36" t="s">
        <v>68</v>
      </c>
      <c r="K22" s="36" t="s">
        <v>77</v>
      </c>
      <c r="L22" s="68">
        <v>45728</v>
      </c>
      <c r="M22" s="36" t="s">
        <v>47</v>
      </c>
      <c r="N22" s="36" t="s">
        <v>53</v>
      </c>
      <c r="O22" s="36" t="s">
        <v>32</v>
      </c>
      <c r="P22" s="36"/>
      <c r="Q22" s="38" t="s">
        <v>787</v>
      </c>
      <c r="R22" s="36" t="s">
        <v>35</v>
      </c>
      <c r="S22" s="36" t="s">
        <v>82</v>
      </c>
      <c r="T22" s="52">
        <v>136309.5</v>
      </c>
      <c r="U22" s="36" t="s">
        <v>49</v>
      </c>
      <c r="V22" s="36">
        <v>6</v>
      </c>
    </row>
    <row r="23" spans="1:22" s="1" customFormat="1" ht="9.5" customHeight="1" x14ac:dyDescent="0.35">
      <c r="A23" s="70">
        <v>22</v>
      </c>
      <c r="B23" s="70">
        <v>2025</v>
      </c>
      <c r="C23" s="118" t="s">
        <v>87</v>
      </c>
      <c r="D23" s="38" t="s">
        <v>55</v>
      </c>
      <c r="E23" s="38" t="s">
        <v>754</v>
      </c>
      <c r="F23" s="38" t="s">
        <v>788</v>
      </c>
      <c r="G23" s="36" t="s">
        <v>56</v>
      </c>
      <c r="H23" s="36" t="s">
        <v>22</v>
      </c>
      <c r="I23" s="36" t="s">
        <v>23</v>
      </c>
      <c r="J23" s="36" t="s">
        <v>24</v>
      </c>
      <c r="K23" s="36" t="s">
        <v>25</v>
      </c>
      <c r="L23" s="68">
        <v>45686</v>
      </c>
      <c r="M23" s="36" t="s">
        <v>35</v>
      </c>
      <c r="N23" s="36" t="s">
        <v>53</v>
      </c>
      <c r="O23" s="36" t="s">
        <v>82</v>
      </c>
      <c r="P23" s="36"/>
      <c r="Q23" s="38" t="s">
        <v>789</v>
      </c>
      <c r="R23" s="36" t="s">
        <v>82</v>
      </c>
      <c r="S23" s="36" t="s">
        <v>113</v>
      </c>
      <c r="T23" s="52">
        <v>957668</v>
      </c>
      <c r="U23" s="36" t="s">
        <v>70</v>
      </c>
      <c r="V23" s="36">
        <v>24</v>
      </c>
    </row>
    <row r="24" spans="1:22" s="1" customFormat="1" ht="9.5" customHeight="1" x14ac:dyDescent="0.25">
      <c r="A24" s="70">
        <v>23</v>
      </c>
      <c r="B24" s="70">
        <v>2025</v>
      </c>
      <c r="C24" s="118" t="s">
        <v>87</v>
      </c>
      <c r="D24" s="38" t="s">
        <v>83</v>
      </c>
      <c r="E24" s="38" t="s">
        <v>765</v>
      </c>
      <c r="F24" s="38" t="s">
        <v>790</v>
      </c>
      <c r="G24" s="36" t="s">
        <v>21</v>
      </c>
      <c r="H24" s="36" t="s">
        <v>744</v>
      </c>
      <c r="I24" s="36"/>
      <c r="J24" s="96" t="s">
        <v>791</v>
      </c>
      <c r="K24" s="36" t="s">
        <v>85</v>
      </c>
      <c r="L24" s="68">
        <v>45707</v>
      </c>
      <c r="M24" s="36" t="s">
        <v>27</v>
      </c>
      <c r="N24" s="36" t="s">
        <v>36</v>
      </c>
      <c r="O24" s="36" t="s">
        <v>27</v>
      </c>
      <c r="P24" s="36"/>
      <c r="Q24" s="38"/>
      <c r="R24" s="36" t="s">
        <v>67</v>
      </c>
      <c r="S24" s="36" t="s">
        <v>41</v>
      </c>
      <c r="T24" s="52">
        <v>28141</v>
      </c>
      <c r="U24" s="36" t="s">
        <v>49</v>
      </c>
      <c r="V24" s="36">
        <v>1</v>
      </c>
    </row>
    <row r="25" spans="1:22" s="1" customFormat="1" ht="9.5" customHeight="1" x14ac:dyDescent="0.35">
      <c r="A25" s="70">
        <v>24</v>
      </c>
      <c r="B25" s="70">
        <v>2025</v>
      </c>
      <c r="C25" s="118" t="s">
        <v>87</v>
      </c>
      <c r="D25" s="38" t="s">
        <v>55</v>
      </c>
      <c r="E25" s="38" t="s">
        <v>64</v>
      </c>
      <c r="F25" s="38" t="s">
        <v>792</v>
      </c>
      <c r="G25" s="36" t="s">
        <v>34</v>
      </c>
      <c r="H25" s="36" t="s">
        <v>679</v>
      </c>
      <c r="I25" s="36" t="s">
        <v>23</v>
      </c>
      <c r="J25" s="36" t="s">
        <v>114</v>
      </c>
      <c r="K25" s="36" t="s">
        <v>58</v>
      </c>
      <c r="L25" s="68">
        <v>45769</v>
      </c>
      <c r="M25" s="36" t="s">
        <v>78</v>
      </c>
      <c r="N25" s="36" t="s">
        <v>78</v>
      </c>
      <c r="O25" s="36" t="s">
        <v>78</v>
      </c>
      <c r="P25" s="36"/>
      <c r="Q25" s="36"/>
      <c r="R25" s="36" t="s">
        <v>78</v>
      </c>
      <c r="S25" s="36" t="s">
        <v>41</v>
      </c>
      <c r="T25" s="52">
        <v>67849</v>
      </c>
      <c r="U25" s="36" t="s">
        <v>98</v>
      </c>
      <c r="V25" s="36">
        <v>4</v>
      </c>
    </row>
    <row r="26" spans="1:22" s="1" customFormat="1" ht="9.5" customHeight="1" x14ac:dyDescent="0.35">
      <c r="A26" s="70">
        <v>25</v>
      </c>
      <c r="B26" s="70">
        <v>2025</v>
      </c>
      <c r="C26" s="118" t="s">
        <v>87</v>
      </c>
      <c r="D26" s="38" t="s">
        <v>55</v>
      </c>
      <c r="E26" s="38" t="s">
        <v>793</v>
      </c>
      <c r="F26" s="38" t="s">
        <v>794</v>
      </c>
      <c r="G26" s="38" t="s">
        <v>50</v>
      </c>
      <c r="H26" s="38" t="s">
        <v>51</v>
      </c>
      <c r="I26" s="36" t="s">
        <v>62</v>
      </c>
      <c r="J26" s="36" t="s">
        <v>24</v>
      </c>
      <c r="K26" s="36" t="s">
        <v>58</v>
      </c>
      <c r="L26" s="68">
        <v>45763</v>
      </c>
      <c r="M26" s="36"/>
      <c r="N26" s="36" t="s">
        <v>61</v>
      </c>
      <c r="O26" s="36" t="s">
        <v>61</v>
      </c>
      <c r="P26" s="36"/>
      <c r="Q26" s="36" t="s">
        <v>115</v>
      </c>
      <c r="R26" s="36" t="s">
        <v>61</v>
      </c>
      <c r="S26" s="36" t="s">
        <v>43</v>
      </c>
      <c r="T26" s="52">
        <v>253096</v>
      </c>
      <c r="U26" s="36" t="s">
        <v>49</v>
      </c>
      <c r="V26" s="36">
        <v>18</v>
      </c>
    </row>
    <row r="27" spans="1:22" s="1" customFormat="1" ht="9.5" customHeight="1" x14ac:dyDescent="0.35">
      <c r="A27" s="70">
        <v>26</v>
      </c>
      <c r="B27" s="70">
        <v>2025</v>
      </c>
      <c r="C27" s="118" t="s">
        <v>87</v>
      </c>
      <c r="D27" s="38" t="s">
        <v>55</v>
      </c>
      <c r="E27" s="38" t="s">
        <v>795</v>
      </c>
      <c r="F27" s="38" t="s">
        <v>796</v>
      </c>
      <c r="G27" s="36" t="s">
        <v>39</v>
      </c>
      <c r="H27" s="36" t="s">
        <v>22</v>
      </c>
      <c r="I27" s="36" t="s">
        <v>23</v>
      </c>
      <c r="J27" s="36" t="s">
        <v>116</v>
      </c>
      <c r="K27" s="36" t="s">
        <v>58</v>
      </c>
      <c r="L27" s="68">
        <v>45769</v>
      </c>
      <c r="M27" s="36" t="s">
        <v>53</v>
      </c>
      <c r="N27" s="36" t="s">
        <v>53</v>
      </c>
      <c r="O27" s="36"/>
      <c r="P27" s="36"/>
      <c r="Q27" s="36" t="s">
        <v>117</v>
      </c>
      <c r="R27" s="36" t="s">
        <v>53</v>
      </c>
      <c r="S27" s="36" t="s">
        <v>43</v>
      </c>
      <c r="T27" s="52">
        <v>67199.25</v>
      </c>
      <c r="U27" s="36" t="s">
        <v>70</v>
      </c>
      <c r="V27" s="36">
        <v>3</v>
      </c>
    </row>
    <row r="28" spans="1:22" s="1" customFormat="1" ht="9.5" customHeight="1" x14ac:dyDescent="0.35">
      <c r="A28" s="70">
        <v>27</v>
      </c>
      <c r="B28" s="70">
        <v>2025</v>
      </c>
      <c r="C28" s="118" t="s">
        <v>87</v>
      </c>
      <c r="D28" s="38" t="s">
        <v>55</v>
      </c>
      <c r="E28" s="38" t="s">
        <v>797</v>
      </c>
      <c r="F28" s="38" t="s">
        <v>798</v>
      </c>
      <c r="G28" s="38" t="s">
        <v>79</v>
      </c>
      <c r="H28" s="36" t="s">
        <v>40</v>
      </c>
      <c r="I28" s="36" t="s">
        <v>23</v>
      </c>
      <c r="J28" s="36" t="s">
        <v>118</v>
      </c>
      <c r="K28" s="38" t="s">
        <v>85</v>
      </c>
      <c r="L28" s="68">
        <v>45721</v>
      </c>
      <c r="M28" s="36" t="s">
        <v>65</v>
      </c>
      <c r="N28" s="36" t="s">
        <v>47</v>
      </c>
      <c r="O28" s="36" t="s">
        <v>82</v>
      </c>
      <c r="P28" s="36"/>
      <c r="Q28" s="36" t="s">
        <v>119</v>
      </c>
      <c r="R28" s="36" t="s">
        <v>82</v>
      </c>
      <c r="S28" s="36" t="s">
        <v>43</v>
      </c>
      <c r="T28" s="52">
        <v>58472.15</v>
      </c>
      <c r="U28" s="36" t="s">
        <v>70</v>
      </c>
      <c r="V28" s="36">
        <v>5</v>
      </c>
    </row>
    <row r="29" spans="1:22" s="1" customFormat="1" ht="9.5" customHeight="1" x14ac:dyDescent="0.35">
      <c r="A29" s="70">
        <v>28</v>
      </c>
      <c r="B29" s="70">
        <v>2025</v>
      </c>
      <c r="C29" s="118" t="s">
        <v>87</v>
      </c>
      <c r="D29" s="38" t="s">
        <v>799</v>
      </c>
      <c r="E29" s="38" t="s">
        <v>800</v>
      </c>
      <c r="F29" s="38" t="s">
        <v>801</v>
      </c>
      <c r="G29" s="36" t="s">
        <v>21</v>
      </c>
      <c r="H29" s="36" t="s">
        <v>40</v>
      </c>
      <c r="I29" s="36" t="s">
        <v>23</v>
      </c>
      <c r="J29" s="36" t="s">
        <v>24</v>
      </c>
      <c r="K29" s="36" t="s">
        <v>58</v>
      </c>
      <c r="L29" s="36"/>
      <c r="M29" s="36" t="s">
        <v>48</v>
      </c>
      <c r="N29" s="36" t="s">
        <v>65</v>
      </c>
      <c r="O29" s="36" t="s">
        <v>48</v>
      </c>
      <c r="P29" s="36"/>
      <c r="Q29" s="36"/>
      <c r="R29" s="36" t="s">
        <v>61</v>
      </c>
      <c r="S29" s="36" t="s">
        <v>28</v>
      </c>
      <c r="T29" s="52">
        <v>59822.76</v>
      </c>
      <c r="U29" s="36" t="s">
        <v>49</v>
      </c>
      <c r="V29" s="36"/>
    </row>
    <row r="30" spans="1:22" s="1" customFormat="1" ht="9.5" customHeight="1" x14ac:dyDescent="0.35">
      <c r="A30" s="70">
        <v>29</v>
      </c>
      <c r="B30" s="70">
        <v>2025</v>
      </c>
      <c r="C30" s="118" t="s">
        <v>87</v>
      </c>
      <c r="D30" s="38" t="s">
        <v>83</v>
      </c>
      <c r="E30" s="38" t="s">
        <v>802</v>
      </c>
      <c r="F30" s="38" t="s">
        <v>803</v>
      </c>
      <c r="G30" s="36" t="s">
        <v>34</v>
      </c>
      <c r="H30" s="36" t="s">
        <v>22</v>
      </c>
      <c r="I30" s="36" t="s">
        <v>23</v>
      </c>
      <c r="J30" s="36" t="s">
        <v>116</v>
      </c>
      <c r="K30" s="36" t="s">
        <v>77</v>
      </c>
      <c r="L30" s="68">
        <v>45797</v>
      </c>
      <c r="M30" s="36" t="s">
        <v>47</v>
      </c>
      <c r="N30" s="36" t="s">
        <v>65</v>
      </c>
      <c r="O30" s="36" t="s">
        <v>36</v>
      </c>
      <c r="P30" s="36" t="s">
        <v>48</v>
      </c>
      <c r="Q30" s="36" t="s">
        <v>117</v>
      </c>
      <c r="R30" s="36" t="s">
        <v>36</v>
      </c>
      <c r="S30" s="36" t="s">
        <v>28</v>
      </c>
      <c r="T30" s="52">
        <v>70206.5</v>
      </c>
      <c r="U30" s="36" t="s">
        <v>49</v>
      </c>
      <c r="V30" s="36">
        <v>5</v>
      </c>
    </row>
    <row r="31" spans="1:22" s="1" customFormat="1" ht="9.5" customHeight="1" x14ac:dyDescent="0.35">
      <c r="A31" s="70">
        <v>30</v>
      </c>
      <c r="B31" s="70">
        <v>2025</v>
      </c>
      <c r="C31" s="118" t="s">
        <v>87</v>
      </c>
      <c r="D31" s="38" t="s">
        <v>83</v>
      </c>
      <c r="E31" s="38" t="s">
        <v>804</v>
      </c>
      <c r="F31" s="38" t="s">
        <v>805</v>
      </c>
      <c r="G31" s="36" t="s">
        <v>39</v>
      </c>
      <c r="H31" s="36" t="s">
        <v>22</v>
      </c>
      <c r="I31" s="36" t="s">
        <v>23</v>
      </c>
      <c r="J31" s="36" t="s">
        <v>116</v>
      </c>
      <c r="K31" s="36" t="s">
        <v>25</v>
      </c>
      <c r="L31" s="68">
        <v>45753</v>
      </c>
      <c r="M31" s="36" t="s">
        <v>47</v>
      </c>
      <c r="N31" s="36" t="s">
        <v>32</v>
      </c>
      <c r="O31" s="36" t="s">
        <v>60</v>
      </c>
      <c r="P31" s="36"/>
      <c r="Q31" s="36" t="s">
        <v>806</v>
      </c>
      <c r="R31" s="36" t="s">
        <v>59</v>
      </c>
      <c r="S31" s="36" t="s">
        <v>43</v>
      </c>
      <c r="T31" s="52">
        <v>235854.43</v>
      </c>
      <c r="U31" s="36" t="s">
        <v>120</v>
      </c>
      <c r="V31" s="36">
        <v>5</v>
      </c>
    </row>
    <row r="32" spans="1:22" s="1" customFormat="1" ht="9.5" customHeight="1" x14ac:dyDescent="0.35">
      <c r="A32" s="70">
        <v>31</v>
      </c>
      <c r="B32" s="70">
        <v>2025</v>
      </c>
      <c r="C32" s="118" t="s">
        <v>87</v>
      </c>
      <c r="D32" s="38" t="s">
        <v>799</v>
      </c>
      <c r="E32" s="38" t="s">
        <v>807</v>
      </c>
      <c r="F32" s="38" t="s">
        <v>808</v>
      </c>
      <c r="G32" s="36" t="s">
        <v>34</v>
      </c>
      <c r="H32" s="36" t="s">
        <v>40</v>
      </c>
      <c r="I32" s="36" t="s">
        <v>23</v>
      </c>
      <c r="J32" s="36" t="s">
        <v>701</v>
      </c>
      <c r="K32" s="36" t="s">
        <v>58</v>
      </c>
      <c r="L32" s="68"/>
      <c r="M32" s="36" t="s">
        <v>48</v>
      </c>
      <c r="N32" s="36" t="s">
        <v>61</v>
      </c>
      <c r="O32" s="36" t="s">
        <v>65</v>
      </c>
      <c r="P32" s="36"/>
      <c r="Q32" s="36"/>
      <c r="R32" s="36" t="s">
        <v>61</v>
      </c>
      <c r="S32" s="36" t="s">
        <v>37</v>
      </c>
      <c r="T32" s="52">
        <v>300000</v>
      </c>
      <c r="U32" s="36" t="s">
        <v>98</v>
      </c>
      <c r="V32" s="36"/>
    </row>
    <row r="33" spans="1:22" s="1" customFormat="1" ht="9.5" customHeight="1" x14ac:dyDescent="0.35">
      <c r="A33" s="70">
        <v>32</v>
      </c>
      <c r="B33" s="70">
        <v>2025</v>
      </c>
      <c r="C33" s="118" t="s">
        <v>87</v>
      </c>
      <c r="D33" s="38" t="s">
        <v>30</v>
      </c>
      <c r="E33" s="38" t="s">
        <v>809</v>
      </c>
      <c r="F33" s="38" t="s">
        <v>810</v>
      </c>
      <c r="G33" s="36" t="s">
        <v>79</v>
      </c>
      <c r="H33" s="36" t="s">
        <v>22</v>
      </c>
      <c r="I33" s="36" t="s">
        <v>62</v>
      </c>
      <c r="J33" s="36" t="s">
        <v>811</v>
      </c>
      <c r="K33" s="36" t="s">
        <v>25</v>
      </c>
      <c r="L33" s="68">
        <v>45808</v>
      </c>
      <c r="M33" s="36" t="s">
        <v>53</v>
      </c>
      <c r="N33" s="36" t="s">
        <v>35</v>
      </c>
      <c r="O33" s="36" t="s">
        <v>65</v>
      </c>
      <c r="P33" s="36" t="s">
        <v>48</v>
      </c>
      <c r="Q33" s="36" t="s">
        <v>121</v>
      </c>
      <c r="R33" s="36" t="s">
        <v>67</v>
      </c>
      <c r="S33" s="36" t="s">
        <v>41</v>
      </c>
      <c r="T33" s="52">
        <v>42000</v>
      </c>
      <c r="U33" s="36" t="s">
        <v>70</v>
      </c>
      <c r="V33" s="36">
        <v>4</v>
      </c>
    </row>
    <row r="34" spans="1:22" s="1" customFormat="1" ht="9.5" customHeight="1" x14ac:dyDescent="0.35">
      <c r="A34" s="70">
        <v>33</v>
      </c>
      <c r="B34" s="70">
        <v>2025</v>
      </c>
      <c r="C34" s="118" t="s">
        <v>87</v>
      </c>
      <c r="D34" s="38" t="s">
        <v>55</v>
      </c>
      <c r="E34" s="38" t="s">
        <v>779</v>
      </c>
      <c r="F34" s="38" t="s">
        <v>812</v>
      </c>
      <c r="G34" s="36" t="s">
        <v>39</v>
      </c>
      <c r="H34" s="36" t="s">
        <v>51</v>
      </c>
      <c r="I34" s="36" t="s">
        <v>23</v>
      </c>
      <c r="J34" s="36" t="s">
        <v>75</v>
      </c>
      <c r="K34" s="36" t="s">
        <v>58</v>
      </c>
      <c r="L34" s="68">
        <v>45813</v>
      </c>
      <c r="M34" s="36" t="s">
        <v>109</v>
      </c>
      <c r="N34" s="36" t="s">
        <v>65</v>
      </c>
      <c r="O34" s="36" t="s">
        <v>36</v>
      </c>
      <c r="P34" s="36"/>
      <c r="Q34" s="36" t="s">
        <v>813</v>
      </c>
      <c r="R34" s="36" t="s">
        <v>59</v>
      </c>
      <c r="S34" s="36" t="s">
        <v>43</v>
      </c>
      <c r="T34" s="69">
        <v>99974.5</v>
      </c>
      <c r="U34" s="36" t="s">
        <v>70</v>
      </c>
      <c r="V34" s="36">
        <v>5</v>
      </c>
    </row>
    <row r="35" spans="1:22" s="1" customFormat="1" ht="9.5" customHeight="1" x14ac:dyDescent="0.35">
      <c r="A35" s="70">
        <v>34</v>
      </c>
      <c r="B35" s="70">
        <v>2025</v>
      </c>
      <c r="C35" s="118" t="s">
        <v>87</v>
      </c>
      <c r="D35" s="38" t="s">
        <v>55</v>
      </c>
      <c r="E35" s="38" t="s">
        <v>742</v>
      </c>
      <c r="F35" s="38" t="s">
        <v>814</v>
      </c>
      <c r="G35" s="36" t="s">
        <v>34</v>
      </c>
      <c r="H35" s="36" t="s">
        <v>679</v>
      </c>
      <c r="I35" s="36" t="s">
        <v>23</v>
      </c>
      <c r="J35" s="36" t="s">
        <v>24</v>
      </c>
      <c r="K35" s="36" t="s">
        <v>58</v>
      </c>
      <c r="L35" s="68">
        <v>45722</v>
      </c>
      <c r="M35" s="36" t="s">
        <v>109</v>
      </c>
      <c r="N35" s="36" t="s">
        <v>65</v>
      </c>
      <c r="O35" s="36" t="s">
        <v>60</v>
      </c>
      <c r="P35" s="36"/>
      <c r="Q35" s="36"/>
      <c r="R35" s="36" t="s">
        <v>48</v>
      </c>
      <c r="S35" s="70" t="s">
        <v>41</v>
      </c>
      <c r="T35" s="69">
        <v>146198.06</v>
      </c>
      <c r="U35" s="71" t="s">
        <v>98</v>
      </c>
      <c r="V35" s="36"/>
    </row>
    <row r="36" spans="1:22" s="1" customFormat="1" ht="9.5" customHeight="1" x14ac:dyDescent="0.25">
      <c r="A36" s="70">
        <v>35</v>
      </c>
      <c r="B36" s="70">
        <v>2025</v>
      </c>
      <c r="C36" s="118" t="s">
        <v>87</v>
      </c>
      <c r="D36" s="38" t="s">
        <v>83</v>
      </c>
      <c r="E36" s="38" t="s">
        <v>815</v>
      </c>
      <c r="F36" s="38" t="s">
        <v>816</v>
      </c>
      <c r="G36" s="36" t="s">
        <v>21</v>
      </c>
      <c r="H36" s="36" t="s">
        <v>51</v>
      </c>
      <c r="I36" s="36" t="s">
        <v>23</v>
      </c>
      <c r="J36" s="36" t="s">
        <v>24</v>
      </c>
      <c r="K36" s="36" t="s">
        <v>58</v>
      </c>
      <c r="L36" s="68">
        <v>45793</v>
      </c>
      <c r="M36" s="36" t="s">
        <v>27</v>
      </c>
      <c r="N36" s="36" t="s">
        <v>27</v>
      </c>
      <c r="O36" s="36" t="s">
        <v>27</v>
      </c>
      <c r="P36" s="36" t="s">
        <v>67</v>
      </c>
      <c r="Q36" s="36"/>
      <c r="R36" s="36" t="s">
        <v>27</v>
      </c>
      <c r="S36" s="70" t="s">
        <v>37</v>
      </c>
      <c r="T36" s="72">
        <v>52684.31</v>
      </c>
      <c r="U36" s="71" t="s">
        <v>98</v>
      </c>
      <c r="V36" s="36">
        <v>18</v>
      </c>
    </row>
    <row r="37" spans="1:22" s="1" customFormat="1" ht="9.5" customHeight="1" x14ac:dyDescent="0.25">
      <c r="A37" s="70">
        <v>36</v>
      </c>
      <c r="B37" s="70">
        <v>2025</v>
      </c>
      <c r="C37" s="118" t="s">
        <v>87</v>
      </c>
      <c r="D37" s="38" t="s">
        <v>55</v>
      </c>
      <c r="E37" s="38" t="s">
        <v>817</v>
      </c>
      <c r="F37" s="38" t="s">
        <v>818</v>
      </c>
      <c r="G37" s="36" t="s">
        <v>56</v>
      </c>
      <c r="H37" s="36" t="s">
        <v>22</v>
      </c>
      <c r="I37" s="36" t="s">
        <v>23</v>
      </c>
      <c r="J37" s="36" t="s">
        <v>819</v>
      </c>
      <c r="K37" s="36" t="s">
        <v>58</v>
      </c>
      <c r="L37" s="68">
        <v>45792</v>
      </c>
      <c r="M37" s="36"/>
      <c r="N37" s="36" t="s">
        <v>65</v>
      </c>
      <c r="O37" s="36" t="s">
        <v>89</v>
      </c>
      <c r="P37" s="36"/>
      <c r="Q37" s="36"/>
      <c r="R37" s="36" t="s">
        <v>82</v>
      </c>
      <c r="S37" s="70" t="s">
        <v>37</v>
      </c>
      <c r="T37" s="73">
        <v>49960</v>
      </c>
      <c r="U37" s="71" t="s">
        <v>98</v>
      </c>
      <c r="V37" s="36">
        <v>6</v>
      </c>
    </row>
    <row r="38" spans="1:22" s="1" customFormat="1" ht="9.5" customHeight="1" x14ac:dyDescent="0.35">
      <c r="A38" s="70">
        <v>37</v>
      </c>
      <c r="B38" s="70">
        <v>2025</v>
      </c>
      <c r="C38" s="118" t="s">
        <v>87</v>
      </c>
      <c r="D38" s="38" t="s">
        <v>83</v>
      </c>
      <c r="E38" s="38" t="s">
        <v>111</v>
      </c>
      <c r="F38" s="38" t="s">
        <v>820</v>
      </c>
      <c r="G38" s="36" t="s">
        <v>39</v>
      </c>
      <c r="H38" s="36" t="s">
        <v>40</v>
      </c>
      <c r="I38" s="36" t="s">
        <v>23</v>
      </c>
      <c r="J38" s="36" t="s">
        <v>24</v>
      </c>
      <c r="K38" s="36" t="s">
        <v>58</v>
      </c>
      <c r="L38" s="68">
        <v>45781</v>
      </c>
      <c r="M38" s="36" t="s">
        <v>48</v>
      </c>
      <c r="N38" s="36" t="s">
        <v>48</v>
      </c>
      <c r="O38" s="36" t="s">
        <v>48</v>
      </c>
      <c r="P38" s="36"/>
      <c r="Q38" s="36"/>
      <c r="R38" s="36" t="s">
        <v>61</v>
      </c>
      <c r="S38" s="70" t="s">
        <v>43</v>
      </c>
      <c r="T38" s="52">
        <v>21000</v>
      </c>
      <c r="U38" s="71" t="s">
        <v>70</v>
      </c>
      <c r="V38" s="36">
        <v>2</v>
      </c>
    </row>
    <row r="39" spans="1:22" s="1" customFormat="1" ht="9.5" customHeight="1" x14ac:dyDescent="0.35">
      <c r="A39" s="70">
        <v>38</v>
      </c>
      <c r="B39" s="70">
        <v>2025</v>
      </c>
      <c r="C39" s="118" t="s">
        <v>87</v>
      </c>
      <c r="D39" s="38" t="s">
        <v>19</v>
      </c>
      <c r="E39" s="38" t="s">
        <v>42</v>
      </c>
      <c r="F39" s="38" t="s">
        <v>674</v>
      </c>
      <c r="G39" s="36" t="s">
        <v>56</v>
      </c>
      <c r="H39" s="36" t="s">
        <v>80</v>
      </c>
      <c r="I39" s="36" t="s">
        <v>23</v>
      </c>
      <c r="J39" s="36" t="s">
        <v>675</v>
      </c>
      <c r="K39" s="36" t="s">
        <v>85</v>
      </c>
      <c r="L39" s="68">
        <v>45807</v>
      </c>
      <c r="M39" s="36" t="s">
        <v>47</v>
      </c>
      <c r="N39" s="36"/>
      <c r="O39" s="36"/>
      <c r="P39" s="36"/>
      <c r="Q39" s="36"/>
      <c r="R39" s="36" t="s">
        <v>89</v>
      </c>
      <c r="S39" s="36" t="s">
        <v>90</v>
      </c>
      <c r="T39" s="74">
        <v>188618</v>
      </c>
      <c r="U39" s="36" t="s">
        <v>70</v>
      </c>
      <c r="V39" s="36"/>
    </row>
    <row r="40" spans="1:22" s="1" customFormat="1" ht="9.5" customHeight="1" x14ac:dyDescent="0.35">
      <c r="A40" s="70">
        <v>39</v>
      </c>
      <c r="B40" s="70">
        <v>2025</v>
      </c>
      <c r="C40" s="118" t="s">
        <v>87</v>
      </c>
      <c r="D40" s="38" t="s">
        <v>19</v>
      </c>
      <c r="E40" s="38" t="s">
        <v>20</v>
      </c>
      <c r="F40" s="38" t="s">
        <v>821</v>
      </c>
      <c r="G40" s="36" t="s">
        <v>56</v>
      </c>
      <c r="H40" s="36" t="s">
        <v>44</v>
      </c>
      <c r="I40" s="36" t="s">
        <v>23</v>
      </c>
      <c r="J40" s="36" t="s">
        <v>114</v>
      </c>
      <c r="K40" s="36" t="s">
        <v>58</v>
      </c>
      <c r="L40" s="68">
        <v>45797</v>
      </c>
      <c r="M40" s="36" t="s">
        <v>53</v>
      </c>
      <c r="N40" s="36" t="s">
        <v>47</v>
      </c>
      <c r="O40" s="36" t="s">
        <v>90</v>
      </c>
      <c r="P40" s="36" t="s">
        <v>78</v>
      </c>
      <c r="Q40" s="36" t="s">
        <v>822</v>
      </c>
      <c r="R40" s="36" t="s">
        <v>78</v>
      </c>
      <c r="S40" s="36" t="s">
        <v>82</v>
      </c>
      <c r="T40" s="52">
        <v>90000</v>
      </c>
      <c r="U40" s="36" t="s">
        <v>70</v>
      </c>
      <c r="V40" s="36">
        <v>4</v>
      </c>
    </row>
    <row r="41" spans="1:22" s="1" customFormat="1" ht="9.5" customHeight="1" x14ac:dyDescent="0.35">
      <c r="A41" s="70">
        <v>40</v>
      </c>
      <c r="B41" s="70">
        <v>2025</v>
      </c>
      <c r="C41" s="118" t="s">
        <v>87</v>
      </c>
      <c r="D41" s="38" t="s">
        <v>30</v>
      </c>
      <c r="E41" s="38" t="s">
        <v>823</v>
      </c>
      <c r="F41" s="38" t="s">
        <v>824</v>
      </c>
      <c r="G41" s="36" t="s">
        <v>79</v>
      </c>
      <c r="H41" s="36" t="s">
        <v>744</v>
      </c>
      <c r="I41" s="36" t="s">
        <v>23</v>
      </c>
      <c r="J41" s="36" t="s">
        <v>88</v>
      </c>
      <c r="K41" s="36" t="s">
        <v>58</v>
      </c>
      <c r="L41" s="68">
        <v>45810</v>
      </c>
      <c r="M41" s="36" t="s">
        <v>41</v>
      </c>
      <c r="N41" s="36" t="s">
        <v>59</v>
      </c>
      <c r="O41" s="36" t="s">
        <v>59</v>
      </c>
      <c r="P41" s="36"/>
      <c r="Q41" s="36" t="s">
        <v>102</v>
      </c>
      <c r="R41" s="36" t="s">
        <v>59</v>
      </c>
      <c r="S41" s="36" t="s">
        <v>41</v>
      </c>
      <c r="T41" s="52">
        <v>36637</v>
      </c>
      <c r="U41" s="36" t="s">
        <v>98</v>
      </c>
      <c r="V41" s="36">
        <v>1</v>
      </c>
    </row>
    <row r="42" spans="1:22" s="1" customFormat="1" ht="9.5" customHeight="1" x14ac:dyDescent="0.35">
      <c r="A42" s="70">
        <v>41</v>
      </c>
      <c r="B42" s="70">
        <v>2025</v>
      </c>
      <c r="C42" s="118" t="s">
        <v>87</v>
      </c>
      <c r="D42" s="38" t="s">
        <v>55</v>
      </c>
      <c r="E42" s="38" t="s">
        <v>825</v>
      </c>
      <c r="F42" s="38" t="s">
        <v>826</v>
      </c>
      <c r="G42" s="36" t="s">
        <v>50</v>
      </c>
      <c r="H42" s="36" t="s">
        <v>80</v>
      </c>
      <c r="I42" s="36" t="s">
        <v>62</v>
      </c>
      <c r="J42" s="36" t="s">
        <v>106</v>
      </c>
      <c r="K42" s="36" t="s">
        <v>25</v>
      </c>
      <c r="L42" s="68">
        <v>45832</v>
      </c>
      <c r="M42" s="36" t="s">
        <v>78</v>
      </c>
      <c r="N42" s="36" t="s">
        <v>78</v>
      </c>
      <c r="O42" s="36" t="s">
        <v>78</v>
      </c>
      <c r="P42" s="36" t="s">
        <v>78</v>
      </c>
      <c r="Q42" s="36" t="s">
        <v>827</v>
      </c>
      <c r="R42" s="36" t="s">
        <v>78</v>
      </c>
      <c r="S42" s="36" t="s">
        <v>41</v>
      </c>
      <c r="T42" s="52">
        <v>950000</v>
      </c>
      <c r="U42" s="36" t="s">
        <v>49</v>
      </c>
      <c r="V42" s="36">
        <v>36</v>
      </c>
    </row>
    <row r="43" spans="1:22" s="1" customFormat="1" ht="9.5" customHeight="1" x14ac:dyDescent="0.25">
      <c r="A43" s="70">
        <v>42</v>
      </c>
      <c r="B43" s="70">
        <v>2025</v>
      </c>
      <c r="C43" s="118" t="s">
        <v>87</v>
      </c>
      <c r="D43" s="38" t="s">
        <v>30</v>
      </c>
      <c r="E43" s="38" t="s">
        <v>828</v>
      </c>
      <c r="F43" s="97" t="s">
        <v>829</v>
      </c>
      <c r="G43" s="36" t="s">
        <v>79</v>
      </c>
      <c r="H43" s="36" t="s">
        <v>679</v>
      </c>
      <c r="I43" s="36" t="s">
        <v>23</v>
      </c>
      <c r="J43" s="36" t="s">
        <v>24</v>
      </c>
      <c r="K43" s="36"/>
      <c r="L43" s="68">
        <v>45821</v>
      </c>
      <c r="M43" s="36" t="s">
        <v>35</v>
      </c>
      <c r="N43" s="36" t="s">
        <v>36</v>
      </c>
      <c r="O43" s="36" t="s">
        <v>92</v>
      </c>
      <c r="P43" s="36"/>
      <c r="Q43" s="36"/>
      <c r="R43" s="36" t="s">
        <v>89</v>
      </c>
      <c r="S43" s="36" t="s">
        <v>43</v>
      </c>
      <c r="T43" s="52">
        <v>59940.21</v>
      </c>
      <c r="U43" s="36" t="s">
        <v>49</v>
      </c>
      <c r="V43" s="36"/>
    </row>
    <row r="44" spans="1:22" s="1" customFormat="1" ht="9.5" customHeight="1" x14ac:dyDescent="0.35">
      <c r="A44" s="70">
        <v>43</v>
      </c>
      <c r="B44" s="70">
        <v>2025</v>
      </c>
      <c r="C44" s="118" t="s">
        <v>87</v>
      </c>
      <c r="D44" s="38" t="s">
        <v>30</v>
      </c>
      <c r="E44" s="38" t="s">
        <v>830</v>
      </c>
      <c r="F44" s="38" t="s">
        <v>831</v>
      </c>
      <c r="G44" s="36" t="s">
        <v>74</v>
      </c>
      <c r="H44" s="36" t="s">
        <v>679</v>
      </c>
      <c r="I44" s="36" t="s">
        <v>23</v>
      </c>
      <c r="J44" s="36" t="s">
        <v>24</v>
      </c>
      <c r="K44" s="36"/>
      <c r="L44" s="68">
        <v>45838</v>
      </c>
      <c r="M44" s="36" t="s">
        <v>92</v>
      </c>
      <c r="N44" s="36" t="s">
        <v>92</v>
      </c>
      <c r="O44" s="36" t="s">
        <v>109</v>
      </c>
      <c r="P44" s="36"/>
      <c r="Q44" s="36" t="s">
        <v>832</v>
      </c>
      <c r="R44" s="36" t="s">
        <v>89</v>
      </c>
      <c r="S44" s="36" t="s">
        <v>43</v>
      </c>
      <c r="T44" s="52">
        <v>59411.9</v>
      </c>
      <c r="U44" s="36" t="s">
        <v>49</v>
      </c>
      <c r="V44" s="36"/>
    </row>
    <row r="45" spans="1:22" s="1" customFormat="1" ht="9.5" customHeight="1" x14ac:dyDescent="0.35">
      <c r="A45" s="70">
        <v>44</v>
      </c>
      <c r="B45" s="70">
        <v>2025</v>
      </c>
      <c r="C45" s="118" t="s">
        <v>87</v>
      </c>
      <c r="D45" s="38" t="s">
        <v>19</v>
      </c>
      <c r="E45" s="38" t="s">
        <v>833</v>
      </c>
      <c r="F45" s="38" t="s">
        <v>834</v>
      </c>
      <c r="G45" s="36" t="s">
        <v>56</v>
      </c>
      <c r="H45" s="36" t="s">
        <v>80</v>
      </c>
      <c r="I45" s="36" t="s">
        <v>23</v>
      </c>
      <c r="J45" s="36" t="s">
        <v>835</v>
      </c>
      <c r="K45" s="36"/>
      <c r="L45" s="68">
        <v>45838</v>
      </c>
      <c r="M45" s="36" t="s">
        <v>32</v>
      </c>
      <c r="N45" s="36" t="s">
        <v>92</v>
      </c>
      <c r="O45" s="36" t="s">
        <v>36</v>
      </c>
      <c r="P45" s="36" t="s">
        <v>60</v>
      </c>
      <c r="Q45" s="36" t="s">
        <v>836</v>
      </c>
      <c r="R45" s="36" t="s">
        <v>89</v>
      </c>
      <c r="S45" s="70" t="s">
        <v>82</v>
      </c>
      <c r="T45" s="52">
        <v>92919</v>
      </c>
      <c r="U45" s="71" t="s">
        <v>70</v>
      </c>
      <c r="V45" s="36"/>
    </row>
    <row r="46" spans="1:22" s="1" customFormat="1" ht="9.5" customHeight="1" x14ac:dyDescent="0.25">
      <c r="A46" s="70">
        <v>45</v>
      </c>
      <c r="B46" s="70">
        <v>2025</v>
      </c>
      <c r="C46" s="118" t="s">
        <v>87</v>
      </c>
      <c r="D46" s="38" t="s">
        <v>55</v>
      </c>
      <c r="E46" s="38" t="s">
        <v>837</v>
      </c>
      <c r="F46" s="98" t="s">
        <v>838</v>
      </c>
      <c r="G46" s="36" t="s">
        <v>74</v>
      </c>
      <c r="H46" s="36" t="s">
        <v>40</v>
      </c>
      <c r="I46" s="36" t="s">
        <v>62</v>
      </c>
      <c r="J46" s="36" t="s">
        <v>97</v>
      </c>
      <c r="K46" s="36" t="s">
        <v>85</v>
      </c>
      <c r="L46" s="68">
        <v>45834</v>
      </c>
      <c r="M46" s="36" t="s">
        <v>35</v>
      </c>
      <c r="N46" s="36" t="s">
        <v>47</v>
      </c>
      <c r="O46" s="36" t="s">
        <v>92</v>
      </c>
      <c r="P46" s="36"/>
      <c r="Q46" s="36" t="s">
        <v>839</v>
      </c>
      <c r="R46" s="36" t="s">
        <v>60</v>
      </c>
      <c r="S46" s="70" t="s">
        <v>43</v>
      </c>
      <c r="T46" s="52">
        <v>106862.56</v>
      </c>
      <c r="U46" s="71" t="s">
        <v>70</v>
      </c>
      <c r="V46" s="36"/>
    </row>
    <row r="47" spans="1:22" s="1" customFormat="1" ht="9.5" customHeight="1" x14ac:dyDescent="0.35">
      <c r="A47" s="70">
        <v>46</v>
      </c>
      <c r="B47" s="70">
        <v>2025</v>
      </c>
      <c r="C47" s="117" t="s">
        <v>681</v>
      </c>
      <c r="D47" s="38" t="s">
        <v>55</v>
      </c>
      <c r="E47" s="38" t="s">
        <v>840</v>
      </c>
      <c r="F47" s="75" t="s">
        <v>841</v>
      </c>
      <c r="G47" s="76" t="s">
        <v>50</v>
      </c>
      <c r="H47" s="76" t="s">
        <v>679</v>
      </c>
      <c r="I47" s="76" t="s">
        <v>23</v>
      </c>
      <c r="J47" s="76" t="s">
        <v>842</v>
      </c>
      <c r="K47" s="76" t="s">
        <v>58</v>
      </c>
      <c r="L47" s="77">
        <v>45849</v>
      </c>
      <c r="M47" s="76" t="s">
        <v>47</v>
      </c>
      <c r="N47" s="76" t="s">
        <v>36</v>
      </c>
      <c r="O47" s="76" t="s">
        <v>92</v>
      </c>
      <c r="P47" s="76" t="s">
        <v>78</v>
      </c>
      <c r="Q47" s="76" t="s">
        <v>843</v>
      </c>
      <c r="R47" s="76" t="s">
        <v>78</v>
      </c>
      <c r="S47" s="78" t="s">
        <v>28</v>
      </c>
      <c r="T47" s="52">
        <v>1000000</v>
      </c>
      <c r="U47" s="79" t="s">
        <v>98</v>
      </c>
      <c r="V47" s="76">
        <v>24</v>
      </c>
    </row>
    <row r="48" spans="1:22" s="1" customFormat="1" ht="9.5" customHeight="1" x14ac:dyDescent="0.35">
      <c r="A48" s="70">
        <v>47</v>
      </c>
      <c r="B48" s="70">
        <v>2025</v>
      </c>
      <c r="C48" s="117" t="s">
        <v>681</v>
      </c>
      <c r="D48" s="38" t="s">
        <v>83</v>
      </c>
      <c r="E48" s="80" t="s">
        <v>122</v>
      </c>
      <c r="F48" s="81" t="s">
        <v>844</v>
      </c>
      <c r="G48" s="51" t="s">
        <v>34</v>
      </c>
      <c r="H48" s="51" t="s">
        <v>679</v>
      </c>
      <c r="I48" s="51" t="s">
        <v>23</v>
      </c>
      <c r="J48" s="51" t="s">
        <v>845</v>
      </c>
      <c r="K48" s="51" t="s">
        <v>58</v>
      </c>
      <c r="L48" s="82">
        <v>45851</v>
      </c>
      <c r="M48" s="51" t="s">
        <v>92</v>
      </c>
      <c r="N48" s="51" t="s">
        <v>92</v>
      </c>
      <c r="O48" s="51" t="s">
        <v>33</v>
      </c>
      <c r="P48" s="51" t="s">
        <v>46</v>
      </c>
      <c r="Q48" s="51"/>
      <c r="R48" s="51" t="s">
        <v>36</v>
      </c>
      <c r="S48" s="83" t="s">
        <v>33</v>
      </c>
      <c r="T48" s="52">
        <v>580577.68000000005</v>
      </c>
      <c r="U48" s="84" t="s">
        <v>70</v>
      </c>
      <c r="V48" s="51">
        <v>42</v>
      </c>
    </row>
    <row r="49" spans="1:22" s="1" customFormat="1" ht="9.5" customHeight="1" x14ac:dyDescent="0.35">
      <c r="A49" s="70">
        <v>48</v>
      </c>
      <c r="B49" s="70">
        <v>2025</v>
      </c>
      <c r="C49" s="117" t="s">
        <v>681</v>
      </c>
      <c r="D49" s="88" t="s">
        <v>19</v>
      </c>
      <c r="E49" s="38" t="s">
        <v>20</v>
      </c>
      <c r="F49" s="38" t="s">
        <v>676</v>
      </c>
      <c r="G49" s="36" t="s">
        <v>21</v>
      </c>
      <c r="H49" s="38" t="s">
        <v>44</v>
      </c>
      <c r="I49" s="36" t="s">
        <v>23</v>
      </c>
      <c r="J49" s="36" t="s">
        <v>91</v>
      </c>
      <c r="K49" s="38" t="s">
        <v>25</v>
      </c>
      <c r="L49" s="85">
        <v>45862</v>
      </c>
      <c r="M49" s="36" t="s">
        <v>109</v>
      </c>
      <c r="N49" s="76" t="s">
        <v>36</v>
      </c>
      <c r="O49" s="36" t="s">
        <v>60</v>
      </c>
      <c r="P49" s="36" t="s">
        <v>43</v>
      </c>
      <c r="Q49" s="36" t="s">
        <v>846</v>
      </c>
      <c r="R49" s="36" t="s">
        <v>92</v>
      </c>
      <c r="S49" s="70" t="s">
        <v>90</v>
      </c>
      <c r="T49" s="52">
        <v>149500</v>
      </c>
      <c r="U49" s="71" t="s">
        <v>98</v>
      </c>
      <c r="V49" s="36">
        <v>6</v>
      </c>
    </row>
    <row r="50" spans="1:22" s="1" customFormat="1" ht="9.5" customHeight="1" x14ac:dyDescent="0.35">
      <c r="A50" s="70">
        <v>49</v>
      </c>
      <c r="B50" s="70">
        <v>2025</v>
      </c>
      <c r="C50" s="117" t="s">
        <v>681</v>
      </c>
      <c r="D50" s="86" t="s">
        <v>63</v>
      </c>
      <c r="E50" s="86" t="s">
        <v>847</v>
      </c>
      <c r="F50" s="87" t="s">
        <v>848</v>
      </c>
      <c r="G50" s="76" t="s">
        <v>79</v>
      </c>
      <c r="H50" s="76" t="s">
        <v>80</v>
      </c>
      <c r="I50" s="76" t="s">
        <v>23</v>
      </c>
      <c r="J50" s="76" t="s">
        <v>68</v>
      </c>
      <c r="K50" s="76" t="s">
        <v>58</v>
      </c>
      <c r="L50" s="68">
        <v>45870</v>
      </c>
      <c r="M50" s="36" t="s">
        <v>47</v>
      </c>
      <c r="N50" s="36" t="s">
        <v>47</v>
      </c>
      <c r="O50" s="36" t="s">
        <v>61</v>
      </c>
      <c r="P50" s="36" t="s">
        <v>54</v>
      </c>
      <c r="Q50" s="36"/>
      <c r="R50" s="36" t="s">
        <v>61</v>
      </c>
      <c r="S50" s="36" t="s">
        <v>43</v>
      </c>
      <c r="T50" s="52">
        <v>29435</v>
      </c>
      <c r="U50" s="36" t="s">
        <v>98</v>
      </c>
      <c r="V50" s="36">
        <v>1</v>
      </c>
    </row>
    <row r="51" spans="1:22" s="1" customFormat="1" ht="9.5" customHeight="1" x14ac:dyDescent="0.35">
      <c r="A51" s="70">
        <v>50</v>
      </c>
      <c r="B51" s="70">
        <v>2025</v>
      </c>
      <c r="C51" s="117" t="s">
        <v>681</v>
      </c>
      <c r="D51" s="38" t="s">
        <v>55</v>
      </c>
      <c r="E51" s="38" t="s">
        <v>779</v>
      </c>
      <c r="F51" s="88" t="s">
        <v>849</v>
      </c>
      <c r="G51" s="36" t="s">
        <v>39</v>
      </c>
      <c r="H51" s="36" t="s">
        <v>80</v>
      </c>
      <c r="I51" s="36" t="s">
        <v>23</v>
      </c>
      <c r="J51" s="36" t="s">
        <v>24</v>
      </c>
      <c r="K51" s="36" t="s">
        <v>77</v>
      </c>
      <c r="L51" s="68">
        <v>45816</v>
      </c>
      <c r="M51" s="36" t="s">
        <v>78</v>
      </c>
      <c r="N51" s="36" t="s">
        <v>43</v>
      </c>
      <c r="O51" s="36" t="s">
        <v>43</v>
      </c>
      <c r="P51" s="36" t="s">
        <v>36</v>
      </c>
      <c r="Q51" s="36"/>
      <c r="R51" s="36" t="s">
        <v>43</v>
      </c>
      <c r="S51" s="36" t="s">
        <v>54</v>
      </c>
      <c r="T51" s="52">
        <v>95192</v>
      </c>
      <c r="U51" s="36" t="s">
        <v>70</v>
      </c>
      <c r="V51" s="36">
        <v>8</v>
      </c>
    </row>
    <row r="52" spans="1:22" s="1" customFormat="1" ht="9.5" customHeight="1" x14ac:dyDescent="0.35">
      <c r="A52" s="70">
        <v>51</v>
      </c>
      <c r="B52" s="70">
        <v>2025</v>
      </c>
      <c r="C52" s="117" t="s">
        <v>681</v>
      </c>
      <c r="D52" s="38" t="s">
        <v>55</v>
      </c>
      <c r="E52" s="38" t="s">
        <v>850</v>
      </c>
      <c r="F52" s="88" t="s">
        <v>851</v>
      </c>
      <c r="G52" s="36" t="s">
        <v>39</v>
      </c>
      <c r="H52" s="36" t="s">
        <v>744</v>
      </c>
      <c r="I52" s="36" t="s">
        <v>23</v>
      </c>
      <c r="J52" s="36" t="s">
        <v>31</v>
      </c>
      <c r="K52" s="36" t="s">
        <v>25</v>
      </c>
      <c r="L52" s="68">
        <v>45887</v>
      </c>
      <c r="M52" s="36" t="s">
        <v>43</v>
      </c>
      <c r="N52" s="36" t="s">
        <v>43</v>
      </c>
      <c r="O52" s="36" t="s">
        <v>43</v>
      </c>
      <c r="P52" s="36" t="s">
        <v>54</v>
      </c>
      <c r="Q52" s="36" t="s">
        <v>852</v>
      </c>
      <c r="R52" s="36" t="s">
        <v>43</v>
      </c>
      <c r="S52" s="36" t="s">
        <v>54</v>
      </c>
      <c r="T52" s="52">
        <v>30065</v>
      </c>
      <c r="U52" s="36" t="s">
        <v>98</v>
      </c>
      <c r="V52" s="36">
        <v>1.5</v>
      </c>
    </row>
    <row r="53" spans="1:22" s="1" customFormat="1" ht="9.5" customHeight="1" x14ac:dyDescent="0.35">
      <c r="A53" s="70">
        <v>52</v>
      </c>
      <c r="B53" s="70">
        <v>2025</v>
      </c>
      <c r="C53" s="117" t="s">
        <v>681</v>
      </c>
      <c r="D53" s="38" t="s">
        <v>55</v>
      </c>
      <c r="E53" s="38" t="s">
        <v>853</v>
      </c>
      <c r="F53" s="88" t="s">
        <v>854</v>
      </c>
      <c r="G53" s="36" t="s">
        <v>56</v>
      </c>
      <c r="H53" s="36" t="s">
        <v>22</v>
      </c>
      <c r="I53" s="36" t="s">
        <v>23</v>
      </c>
      <c r="J53" s="36" t="s">
        <v>24</v>
      </c>
      <c r="K53" s="36" t="s">
        <v>85</v>
      </c>
      <c r="L53" s="68">
        <v>45891</v>
      </c>
      <c r="M53" s="36" t="s">
        <v>53</v>
      </c>
      <c r="N53" s="36" t="s">
        <v>53</v>
      </c>
      <c r="O53" s="36" t="s">
        <v>90</v>
      </c>
      <c r="P53" s="36" t="s">
        <v>92</v>
      </c>
      <c r="Q53" s="36" t="s">
        <v>855</v>
      </c>
      <c r="R53" s="36" t="s">
        <v>53</v>
      </c>
      <c r="S53" s="36" t="s">
        <v>54</v>
      </c>
      <c r="T53" s="52">
        <v>79000</v>
      </c>
      <c r="U53" s="36" t="s">
        <v>98</v>
      </c>
      <c r="V53" s="36"/>
    </row>
    <row r="54" spans="1:22" s="1" customFormat="1" ht="9.5" customHeight="1" x14ac:dyDescent="0.35">
      <c r="A54" s="70">
        <v>53</v>
      </c>
      <c r="B54" s="70">
        <v>2025</v>
      </c>
      <c r="C54" s="117" t="s">
        <v>681</v>
      </c>
      <c r="D54" s="38" t="s">
        <v>55</v>
      </c>
      <c r="E54" s="38" t="s">
        <v>856</v>
      </c>
      <c r="F54" s="88" t="s">
        <v>857</v>
      </c>
      <c r="G54" s="36" t="s">
        <v>712</v>
      </c>
      <c r="H54" s="36" t="s">
        <v>744</v>
      </c>
      <c r="I54" s="36" t="s">
        <v>23</v>
      </c>
      <c r="J54" s="36" t="s">
        <v>701</v>
      </c>
      <c r="K54" s="36" t="s">
        <v>25</v>
      </c>
      <c r="L54" s="68">
        <v>45856</v>
      </c>
      <c r="M54" s="36" t="s">
        <v>59</v>
      </c>
      <c r="N54" s="36" t="s">
        <v>59</v>
      </c>
      <c r="O54" s="36" t="s">
        <v>59</v>
      </c>
      <c r="P54" s="36"/>
      <c r="Q54" s="36"/>
      <c r="R54" s="36" t="s">
        <v>59</v>
      </c>
      <c r="S54" s="36" t="s">
        <v>54</v>
      </c>
      <c r="T54" s="52">
        <v>45293.46</v>
      </c>
      <c r="U54" s="36" t="s">
        <v>98</v>
      </c>
      <c r="V54" s="36">
        <v>7</v>
      </c>
    </row>
    <row r="55" spans="1:22" s="1" customFormat="1" ht="9.5" customHeight="1" x14ac:dyDescent="0.25">
      <c r="A55" s="70">
        <v>54</v>
      </c>
      <c r="B55" s="70">
        <v>2025</v>
      </c>
      <c r="C55" s="117" t="s">
        <v>681</v>
      </c>
      <c r="D55" s="38" t="s">
        <v>55</v>
      </c>
      <c r="E55" s="38" t="s">
        <v>817</v>
      </c>
      <c r="F55" s="88" t="s">
        <v>858</v>
      </c>
      <c r="G55" s="36" t="s">
        <v>56</v>
      </c>
      <c r="H55" s="36" t="s">
        <v>859</v>
      </c>
      <c r="I55" s="36" t="s">
        <v>62</v>
      </c>
      <c r="J55" s="36" t="s">
        <v>860</v>
      </c>
      <c r="K55" s="36" t="s">
        <v>58</v>
      </c>
      <c r="L55" s="68">
        <v>45888</v>
      </c>
      <c r="M55" s="36"/>
      <c r="N55" s="36" t="s">
        <v>65</v>
      </c>
      <c r="O55" s="36" t="s">
        <v>32</v>
      </c>
      <c r="P55" s="36"/>
      <c r="Q55" s="36" t="s">
        <v>861</v>
      </c>
      <c r="R55" s="36" t="s">
        <v>65</v>
      </c>
      <c r="S55" s="36" t="s">
        <v>82</v>
      </c>
      <c r="T55" s="99">
        <v>51290</v>
      </c>
      <c r="U55" s="36" t="s">
        <v>120</v>
      </c>
      <c r="V55" s="36">
        <v>2</v>
      </c>
    </row>
    <row r="56" spans="1:22" s="1" customFormat="1" ht="9.5" customHeight="1" x14ac:dyDescent="0.35">
      <c r="A56" s="70">
        <v>55</v>
      </c>
      <c r="B56" s="70">
        <v>2025</v>
      </c>
      <c r="C56" s="117" t="s">
        <v>681</v>
      </c>
      <c r="D56" s="38" t="s">
        <v>55</v>
      </c>
      <c r="E56" s="38" t="s">
        <v>664</v>
      </c>
      <c r="F56" s="88" t="s">
        <v>862</v>
      </c>
      <c r="G56" s="36" t="s">
        <v>34</v>
      </c>
      <c r="H56" s="36" t="s">
        <v>22</v>
      </c>
      <c r="I56" s="36" t="s">
        <v>23</v>
      </c>
      <c r="J56" s="36" t="s">
        <v>664</v>
      </c>
      <c r="K56" s="36" t="s">
        <v>25</v>
      </c>
      <c r="L56" s="68">
        <v>45891</v>
      </c>
      <c r="M56" s="36" t="s">
        <v>47</v>
      </c>
      <c r="N56" s="36" t="s">
        <v>54</v>
      </c>
      <c r="O56" s="36" t="s">
        <v>37</v>
      </c>
      <c r="P56" s="36"/>
      <c r="Q56" s="36" t="s">
        <v>863</v>
      </c>
      <c r="R56" s="36" t="s">
        <v>59</v>
      </c>
      <c r="S56" s="36" t="s">
        <v>52</v>
      </c>
      <c r="T56" s="52">
        <v>510274</v>
      </c>
      <c r="U56" s="36" t="s">
        <v>70</v>
      </c>
      <c r="V56" s="36">
        <v>12</v>
      </c>
    </row>
    <row r="57" spans="1:22" s="1" customFormat="1" ht="9.5" customHeight="1" x14ac:dyDescent="0.35">
      <c r="A57" s="70">
        <v>56</v>
      </c>
      <c r="B57" s="70">
        <v>2025</v>
      </c>
      <c r="C57" s="117" t="s">
        <v>681</v>
      </c>
      <c r="D57" s="38" t="s">
        <v>55</v>
      </c>
      <c r="E57" s="38" t="s">
        <v>833</v>
      </c>
      <c r="F57" s="88" t="s">
        <v>864</v>
      </c>
      <c r="G57" s="36" t="s">
        <v>79</v>
      </c>
      <c r="H57" s="36" t="s">
        <v>40</v>
      </c>
      <c r="I57" s="36" t="s">
        <v>62</v>
      </c>
      <c r="J57" s="36" t="s">
        <v>24</v>
      </c>
      <c r="K57" s="36" t="s">
        <v>865</v>
      </c>
      <c r="L57" s="68">
        <v>45911</v>
      </c>
      <c r="M57" s="36" t="s">
        <v>28</v>
      </c>
      <c r="N57" s="36" t="s">
        <v>47</v>
      </c>
      <c r="O57" s="36" t="s">
        <v>59</v>
      </c>
      <c r="P57" s="36"/>
      <c r="Q57" s="36" t="s">
        <v>866</v>
      </c>
      <c r="R57" s="36" t="s">
        <v>43</v>
      </c>
      <c r="S57" s="36" t="s">
        <v>28</v>
      </c>
      <c r="T57" s="52">
        <v>197366</v>
      </c>
      <c r="U57" s="36" t="s">
        <v>70</v>
      </c>
      <c r="V57" s="36"/>
    </row>
    <row r="58" spans="1:22" s="1" customFormat="1" ht="9.5" customHeight="1" x14ac:dyDescent="0.35">
      <c r="A58" s="70">
        <v>57</v>
      </c>
      <c r="B58" s="70">
        <v>2025</v>
      </c>
      <c r="C58" s="117" t="s">
        <v>681</v>
      </c>
      <c r="D58" s="38" t="s">
        <v>55</v>
      </c>
      <c r="E58" s="38" t="s">
        <v>42</v>
      </c>
      <c r="F58" s="88" t="s">
        <v>867</v>
      </c>
      <c r="G58" s="36" t="s">
        <v>56</v>
      </c>
      <c r="H58" s="36" t="s">
        <v>80</v>
      </c>
      <c r="I58" s="36" t="s">
        <v>23</v>
      </c>
      <c r="J58" s="36" t="s">
        <v>675</v>
      </c>
      <c r="K58" s="36" t="s">
        <v>25</v>
      </c>
      <c r="L58" s="68">
        <v>45905</v>
      </c>
      <c r="M58" s="36" t="s">
        <v>53</v>
      </c>
      <c r="N58" s="36" t="s">
        <v>48</v>
      </c>
      <c r="O58" s="36" t="s">
        <v>89</v>
      </c>
      <c r="P58" s="36" t="s">
        <v>868</v>
      </c>
      <c r="Q58" s="36" t="s">
        <v>869</v>
      </c>
      <c r="R58" s="36" t="s">
        <v>89</v>
      </c>
      <c r="S58" s="36" t="s">
        <v>90</v>
      </c>
      <c r="T58" s="52">
        <v>190381.02</v>
      </c>
      <c r="U58" s="36" t="s">
        <v>70</v>
      </c>
      <c r="V58" s="36">
        <v>6</v>
      </c>
    </row>
    <row r="59" spans="1:22" s="1" customFormat="1" ht="9.5" customHeight="1" x14ac:dyDescent="0.35">
      <c r="A59" s="70">
        <v>58</v>
      </c>
      <c r="B59" s="70">
        <v>2025</v>
      </c>
      <c r="C59" s="117" t="s">
        <v>681</v>
      </c>
      <c r="D59" s="38" t="s">
        <v>63</v>
      </c>
      <c r="E59" s="38" t="s">
        <v>64</v>
      </c>
      <c r="F59" s="88" t="s">
        <v>870</v>
      </c>
      <c r="G59" s="36" t="s">
        <v>34</v>
      </c>
      <c r="H59" s="36" t="s">
        <v>679</v>
      </c>
      <c r="I59" s="36" t="s">
        <v>23</v>
      </c>
      <c r="J59" s="36" t="s">
        <v>701</v>
      </c>
      <c r="K59" s="36" t="s">
        <v>25</v>
      </c>
      <c r="L59" s="68">
        <v>45883</v>
      </c>
      <c r="M59" s="36" t="s">
        <v>65</v>
      </c>
      <c r="N59" s="36" t="s">
        <v>28</v>
      </c>
      <c r="O59" s="36" t="s">
        <v>46</v>
      </c>
      <c r="P59" s="36" t="s">
        <v>871</v>
      </c>
      <c r="Q59" s="36"/>
      <c r="R59" s="36" t="s">
        <v>65</v>
      </c>
      <c r="S59" s="36" t="s">
        <v>33</v>
      </c>
      <c r="T59" s="52">
        <v>137039</v>
      </c>
      <c r="U59" s="36" t="s">
        <v>70</v>
      </c>
      <c r="V59" s="36">
        <v>6</v>
      </c>
    </row>
    <row r="60" spans="1:22" s="1" customFormat="1" ht="9.5" customHeight="1" x14ac:dyDescent="0.35">
      <c r="A60" s="70">
        <v>59</v>
      </c>
      <c r="B60" s="70">
        <v>2025</v>
      </c>
      <c r="C60" s="117" t="s">
        <v>681</v>
      </c>
      <c r="D60" s="38" t="s">
        <v>112</v>
      </c>
      <c r="E60" s="38" t="s">
        <v>872</v>
      </c>
      <c r="F60" s="88" t="s">
        <v>873</v>
      </c>
      <c r="G60" s="36" t="s">
        <v>21</v>
      </c>
      <c r="H60" s="36" t="s">
        <v>80</v>
      </c>
      <c r="I60" s="36" t="s">
        <v>62</v>
      </c>
      <c r="J60" s="36" t="s">
        <v>57</v>
      </c>
      <c r="K60" s="36" t="s">
        <v>25</v>
      </c>
      <c r="L60" s="68">
        <v>45912</v>
      </c>
      <c r="M60" s="36" t="s">
        <v>27</v>
      </c>
      <c r="N60" s="36" t="s">
        <v>27</v>
      </c>
      <c r="O60" s="36"/>
      <c r="P60" s="36"/>
      <c r="Q60" s="36"/>
      <c r="R60" s="36" t="s">
        <v>27</v>
      </c>
      <c r="S60" s="36" t="s">
        <v>37</v>
      </c>
      <c r="T60" s="52"/>
      <c r="U60" s="36" t="s">
        <v>38</v>
      </c>
      <c r="V60" s="36"/>
    </row>
    <row r="61" spans="1:22" s="1" customFormat="1" ht="9.5" customHeight="1" x14ac:dyDescent="0.35">
      <c r="A61" s="70">
        <v>60</v>
      </c>
      <c r="B61" s="70">
        <v>2025</v>
      </c>
      <c r="C61" s="117" t="s">
        <v>681</v>
      </c>
      <c r="D61" s="38" t="s">
        <v>63</v>
      </c>
      <c r="E61" s="38" t="s">
        <v>874</v>
      </c>
      <c r="F61" s="88" t="s">
        <v>875</v>
      </c>
      <c r="G61" s="36" t="s">
        <v>21</v>
      </c>
      <c r="H61" s="36" t="s">
        <v>80</v>
      </c>
      <c r="I61" s="36"/>
      <c r="J61" s="36"/>
      <c r="K61" s="36"/>
      <c r="L61" s="36"/>
      <c r="M61" s="36"/>
      <c r="N61" s="36"/>
      <c r="O61" s="36"/>
      <c r="P61" s="36"/>
      <c r="Q61" s="36"/>
      <c r="R61" s="36" t="s">
        <v>47</v>
      </c>
      <c r="S61" s="36" t="s">
        <v>52</v>
      </c>
      <c r="T61" s="52"/>
      <c r="U61" s="36"/>
      <c r="V61" s="36"/>
    </row>
    <row r="62" spans="1:22" s="1" customFormat="1" ht="9.5" customHeight="1" x14ac:dyDescent="0.35">
      <c r="A62" s="70">
        <v>61</v>
      </c>
      <c r="B62" s="70">
        <v>2025</v>
      </c>
      <c r="C62" s="117" t="s">
        <v>681</v>
      </c>
      <c r="D62" s="38" t="s">
        <v>55</v>
      </c>
      <c r="E62" s="38" t="s">
        <v>664</v>
      </c>
      <c r="F62" s="88" t="s">
        <v>876</v>
      </c>
      <c r="G62" s="36" t="s">
        <v>34</v>
      </c>
      <c r="H62" s="36" t="s">
        <v>40</v>
      </c>
      <c r="I62" s="36" t="s">
        <v>23</v>
      </c>
      <c r="J62" s="36" t="s">
        <v>31</v>
      </c>
      <c r="K62" s="36" t="s">
        <v>58</v>
      </c>
      <c r="L62" s="68">
        <v>45958</v>
      </c>
      <c r="M62" s="36" t="s">
        <v>47</v>
      </c>
      <c r="N62" s="36" t="s">
        <v>53</v>
      </c>
      <c r="O62" s="36" t="s">
        <v>27</v>
      </c>
      <c r="P62" s="36"/>
      <c r="R62" s="36" t="s">
        <v>48</v>
      </c>
      <c r="S62" s="36" t="s">
        <v>28</v>
      </c>
      <c r="T62" s="52">
        <v>204301.72</v>
      </c>
      <c r="U62" s="36" t="s">
        <v>49</v>
      </c>
      <c r="V62" s="36">
        <v>18</v>
      </c>
    </row>
    <row r="63" spans="1:22" s="1" customFormat="1" ht="9.5" customHeight="1" x14ac:dyDescent="0.35">
      <c r="A63" s="70">
        <v>62</v>
      </c>
      <c r="B63" s="70">
        <v>2025</v>
      </c>
      <c r="C63" s="117" t="s">
        <v>681</v>
      </c>
      <c r="D63" s="38" t="s">
        <v>63</v>
      </c>
      <c r="E63" s="38" t="s">
        <v>877</v>
      </c>
      <c r="F63" s="88" t="s">
        <v>878</v>
      </c>
      <c r="G63" s="36" t="s">
        <v>712</v>
      </c>
      <c r="H63" s="36" t="s">
        <v>22</v>
      </c>
      <c r="I63" s="36" t="s">
        <v>62</v>
      </c>
      <c r="J63" s="36" t="s">
        <v>24</v>
      </c>
      <c r="K63" s="36" t="s">
        <v>58</v>
      </c>
      <c r="L63" s="68">
        <v>45912</v>
      </c>
      <c r="M63" s="36" t="s">
        <v>43</v>
      </c>
      <c r="N63" s="36" t="s">
        <v>43</v>
      </c>
      <c r="O63" s="36" t="s">
        <v>43</v>
      </c>
      <c r="P63" s="36"/>
      <c r="R63" s="36" t="s">
        <v>43</v>
      </c>
      <c r="S63" s="36" t="s">
        <v>54</v>
      </c>
      <c r="T63" s="52">
        <v>60300.38</v>
      </c>
      <c r="U63" s="36" t="s">
        <v>98</v>
      </c>
      <c r="V63" s="36">
        <v>6</v>
      </c>
    </row>
    <row r="64" spans="1:22" s="1" customFormat="1" ht="9.5" customHeight="1" x14ac:dyDescent="0.35">
      <c r="A64" s="70">
        <v>63</v>
      </c>
      <c r="B64" s="70">
        <v>2025</v>
      </c>
      <c r="C64" s="117" t="s">
        <v>681</v>
      </c>
      <c r="D64" s="38" t="s">
        <v>83</v>
      </c>
      <c r="E64" s="38" t="s">
        <v>73</v>
      </c>
      <c r="F64" s="88" t="s">
        <v>879</v>
      </c>
      <c r="G64" s="36" t="s">
        <v>34</v>
      </c>
      <c r="H64" s="36" t="s">
        <v>80</v>
      </c>
      <c r="I64" s="36" t="s">
        <v>23</v>
      </c>
      <c r="J64" s="36" t="s">
        <v>701</v>
      </c>
      <c r="K64" s="36" t="s">
        <v>58</v>
      </c>
      <c r="L64" s="68">
        <v>45923</v>
      </c>
      <c r="M64" s="36"/>
      <c r="N64" s="36"/>
      <c r="O64" s="36" t="s">
        <v>65</v>
      </c>
      <c r="P64" s="36"/>
      <c r="Q64" s="36"/>
      <c r="R64" s="36" t="s">
        <v>61</v>
      </c>
      <c r="S64" s="36" t="s">
        <v>113</v>
      </c>
      <c r="T64" s="52">
        <v>450000</v>
      </c>
      <c r="U64" s="36" t="s">
        <v>49</v>
      </c>
      <c r="V64" s="36"/>
    </row>
    <row r="65" spans="1:22" s="1" customFormat="1" ht="9.5" customHeight="1" x14ac:dyDescent="0.35">
      <c r="A65" s="70">
        <v>64</v>
      </c>
      <c r="B65" s="70">
        <v>2025</v>
      </c>
      <c r="C65" s="117" t="s">
        <v>681</v>
      </c>
      <c r="D65" s="38" t="s">
        <v>19</v>
      </c>
      <c r="E65" s="38" t="s">
        <v>42</v>
      </c>
      <c r="F65" s="89"/>
      <c r="G65" s="36"/>
      <c r="H65" s="36"/>
      <c r="I65" s="36"/>
      <c r="J65" s="36"/>
      <c r="K65" s="36"/>
      <c r="L65" s="68"/>
      <c r="M65" s="36"/>
      <c r="N65" s="36"/>
      <c r="O65" s="36"/>
      <c r="P65" s="36"/>
      <c r="Q65" s="36"/>
      <c r="R65" s="36"/>
      <c r="S65" s="36"/>
      <c r="T65" s="52"/>
      <c r="U65" s="36"/>
      <c r="V65" s="36"/>
    </row>
    <row r="66" spans="1:22" s="1" customFormat="1" ht="9.5" customHeight="1" x14ac:dyDescent="0.35">
      <c r="A66" s="70">
        <v>65</v>
      </c>
      <c r="B66" s="70">
        <v>2025</v>
      </c>
      <c r="C66" s="117" t="s">
        <v>681</v>
      </c>
      <c r="D66" s="38" t="s">
        <v>83</v>
      </c>
      <c r="E66" s="38" t="s">
        <v>123</v>
      </c>
      <c r="F66" s="89" t="s">
        <v>880</v>
      </c>
      <c r="G66" s="36" t="s">
        <v>21</v>
      </c>
      <c r="H66" s="36" t="s">
        <v>40</v>
      </c>
      <c r="I66" s="36" t="s">
        <v>23</v>
      </c>
      <c r="J66" s="36" t="s">
        <v>881</v>
      </c>
      <c r="K66" s="36" t="s">
        <v>58</v>
      </c>
      <c r="L66" s="90">
        <v>45926</v>
      </c>
      <c r="M66" s="36" t="s">
        <v>47</v>
      </c>
      <c r="N66" s="36" t="s">
        <v>43</v>
      </c>
      <c r="O66" s="36" t="s">
        <v>67</v>
      </c>
      <c r="P66" s="36" t="s">
        <v>43</v>
      </c>
      <c r="Q66" s="36"/>
      <c r="R66" s="36" t="s">
        <v>47</v>
      </c>
      <c r="S66" s="36" t="s">
        <v>43</v>
      </c>
      <c r="T66" s="52">
        <v>30142</v>
      </c>
      <c r="U66" s="36" t="s">
        <v>70</v>
      </c>
      <c r="V66" s="36">
        <v>4</v>
      </c>
    </row>
    <row r="67" spans="1:22" s="1" customFormat="1" ht="9.5" customHeight="1" x14ac:dyDescent="0.35">
      <c r="A67" s="70">
        <v>66</v>
      </c>
      <c r="B67" s="70">
        <v>2025</v>
      </c>
      <c r="C67" s="117" t="s">
        <v>681</v>
      </c>
      <c r="D67" s="38" t="s">
        <v>19</v>
      </c>
      <c r="E67" s="70" t="s">
        <v>20</v>
      </c>
      <c r="F67" s="100" t="s">
        <v>682</v>
      </c>
      <c r="G67" s="71" t="s">
        <v>21</v>
      </c>
      <c r="H67" s="36" t="s">
        <v>40</v>
      </c>
      <c r="I67" s="36" t="s">
        <v>23</v>
      </c>
      <c r="J67" s="36" t="s">
        <v>24</v>
      </c>
      <c r="K67" s="36" t="s">
        <v>85</v>
      </c>
      <c r="L67" s="68">
        <v>45849</v>
      </c>
      <c r="M67" s="36" t="s">
        <v>27</v>
      </c>
      <c r="N67" s="36"/>
      <c r="O67" s="36"/>
      <c r="P67" s="36"/>
      <c r="Q67" s="36"/>
      <c r="R67" s="36" t="s">
        <v>27</v>
      </c>
      <c r="S67" s="36" t="s">
        <v>28</v>
      </c>
      <c r="T67" s="52"/>
      <c r="U67" s="36" t="s">
        <v>70</v>
      </c>
      <c r="V67" s="36"/>
    </row>
    <row r="68" spans="1:22" s="1" customFormat="1" ht="9.5" customHeight="1" x14ac:dyDescent="0.35">
      <c r="A68" s="70">
        <v>67</v>
      </c>
      <c r="B68" s="70">
        <v>2025</v>
      </c>
      <c r="C68" s="117" t="s">
        <v>716</v>
      </c>
      <c r="D68" s="36" t="s">
        <v>83</v>
      </c>
      <c r="E68" s="36" t="s">
        <v>882</v>
      </c>
      <c r="F68" s="70" t="s">
        <v>883</v>
      </c>
      <c r="G68" s="36" t="s">
        <v>39</v>
      </c>
      <c r="H68" s="36" t="s">
        <v>51</v>
      </c>
      <c r="I68" s="36" t="s">
        <v>62</v>
      </c>
      <c r="J68" s="36" t="s">
        <v>68</v>
      </c>
      <c r="K68" s="36" t="s">
        <v>865</v>
      </c>
      <c r="L68" s="68">
        <v>45946</v>
      </c>
      <c r="M68" s="36" t="s">
        <v>47</v>
      </c>
      <c r="N68" s="36" t="s">
        <v>54</v>
      </c>
      <c r="O68" s="36" t="s">
        <v>43</v>
      </c>
      <c r="P68" s="36"/>
      <c r="Q68" s="36" t="s">
        <v>884</v>
      </c>
      <c r="R68" s="36" t="s">
        <v>47</v>
      </c>
      <c r="S68" s="36" t="s">
        <v>54</v>
      </c>
      <c r="T68" s="52">
        <v>38939</v>
      </c>
      <c r="U68" s="36" t="s">
        <v>49</v>
      </c>
      <c r="V68" s="36">
        <v>4</v>
      </c>
    </row>
    <row r="69" spans="1:22" s="1" customFormat="1" ht="9.5" customHeight="1" x14ac:dyDescent="0.35">
      <c r="A69" s="70">
        <v>68</v>
      </c>
      <c r="B69" s="70">
        <v>2025</v>
      </c>
      <c r="C69" s="117" t="s">
        <v>716</v>
      </c>
      <c r="D69" s="36" t="s">
        <v>55</v>
      </c>
      <c r="E69" s="36" t="s">
        <v>779</v>
      </c>
      <c r="F69" s="70" t="s">
        <v>885</v>
      </c>
      <c r="G69" s="36" t="s">
        <v>39</v>
      </c>
      <c r="H69" s="36" t="s">
        <v>22</v>
      </c>
      <c r="I69" s="36" t="s">
        <v>23</v>
      </c>
      <c r="J69" s="36" t="s">
        <v>24</v>
      </c>
      <c r="K69" s="36" t="s">
        <v>77</v>
      </c>
      <c r="L69" s="68">
        <v>45953</v>
      </c>
      <c r="M69" s="36" t="s">
        <v>61</v>
      </c>
      <c r="N69" s="36" t="s">
        <v>60</v>
      </c>
      <c r="O69" s="36" t="s">
        <v>60</v>
      </c>
      <c r="P69" s="36"/>
      <c r="Q69" s="36" t="s">
        <v>886</v>
      </c>
      <c r="R69" s="36" t="s">
        <v>61</v>
      </c>
      <c r="S69" s="36" t="s">
        <v>43</v>
      </c>
      <c r="T69" s="52">
        <v>70170</v>
      </c>
      <c r="U69" s="36" t="s">
        <v>70</v>
      </c>
      <c r="V69" s="36">
        <v>4</v>
      </c>
    </row>
    <row r="70" spans="1:22" s="1" customFormat="1" ht="9.5" customHeight="1" x14ac:dyDescent="0.35">
      <c r="A70" s="70">
        <v>69</v>
      </c>
      <c r="B70" s="70">
        <v>2025</v>
      </c>
      <c r="C70" s="117" t="s">
        <v>716</v>
      </c>
      <c r="D70" s="36" t="s">
        <v>69</v>
      </c>
      <c r="E70" s="36" t="s">
        <v>887</v>
      </c>
      <c r="F70" s="70"/>
      <c r="G70" s="36"/>
      <c r="H70" s="36"/>
      <c r="I70" s="36"/>
      <c r="J70" s="36"/>
      <c r="K70" s="36"/>
      <c r="L70" s="36"/>
      <c r="M70" s="36"/>
      <c r="N70" s="36"/>
      <c r="O70" s="36"/>
      <c r="P70" s="36"/>
      <c r="Q70" s="36"/>
      <c r="R70" s="36"/>
      <c r="S70" s="36"/>
      <c r="T70" s="52"/>
      <c r="U70" s="36"/>
      <c r="V70" s="36"/>
    </row>
    <row r="71" spans="1:22" s="1" customFormat="1" ht="9.5" customHeight="1" x14ac:dyDescent="0.35">
      <c r="A71" s="70">
        <v>70</v>
      </c>
      <c r="B71" s="70">
        <v>2025</v>
      </c>
      <c r="C71" s="117" t="s">
        <v>716</v>
      </c>
      <c r="D71" s="36" t="s">
        <v>69</v>
      </c>
      <c r="E71" s="36" t="s">
        <v>888</v>
      </c>
      <c r="F71" s="70" t="s">
        <v>889</v>
      </c>
      <c r="G71" s="36" t="s">
        <v>508</v>
      </c>
      <c r="H71" s="36" t="s">
        <v>44</v>
      </c>
      <c r="I71" s="36" t="s">
        <v>62</v>
      </c>
      <c r="J71" s="36" t="s">
        <v>890</v>
      </c>
      <c r="K71" s="36" t="s">
        <v>25</v>
      </c>
      <c r="L71" s="68">
        <v>45981</v>
      </c>
      <c r="M71" s="36" t="s">
        <v>36</v>
      </c>
      <c r="N71" s="36" t="s">
        <v>36</v>
      </c>
      <c r="O71" s="36" t="s">
        <v>36</v>
      </c>
      <c r="P71" s="36"/>
      <c r="Q71" s="36"/>
      <c r="R71" s="36" t="s">
        <v>36</v>
      </c>
      <c r="S71" s="36" t="s">
        <v>54</v>
      </c>
      <c r="T71" s="52">
        <f>19982*1.6</f>
        <v>31971.200000000001</v>
      </c>
      <c r="U71" s="36" t="s">
        <v>70</v>
      </c>
      <c r="V71" s="36">
        <v>4</v>
      </c>
    </row>
    <row r="72" spans="1:22" s="1" customFormat="1" ht="9.5" customHeight="1" x14ac:dyDescent="0.35">
      <c r="A72" s="70">
        <v>71</v>
      </c>
      <c r="B72" s="70">
        <v>2025</v>
      </c>
      <c r="C72" s="117" t="s">
        <v>716</v>
      </c>
      <c r="D72" s="36" t="s">
        <v>19</v>
      </c>
      <c r="E72" s="36" t="s">
        <v>20</v>
      </c>
      <c r="F72" s="70" t="s">
        <v>690</v>
      </c>
      <c r="G72" s="36" t="s">
        <v>21</v>
      </c>
      <c r="H72" s="36" t="s">
        <v>44</v>
      </c>
      <c r="I72" s="36" t="s">
        <v>23</v>
      </c>
      <c r="J72" s="36" t="s">
        <v>45</v>
      </c>
      <c r="K72" s="36" t="s">
        <v>25</v>
      </c>
      <c r="L72" s="68">
        <v>45981</v>
      </c>
      <c r="M72" s="36" t="s">
        <v>46</v>
      </c>
      <c r="N72" s="36" t="s">
        <v>65</v>
      </c>
      <c r="O72" s="36" t="s">
        <v>90</v>
      </c>
      <c r="P72" s="36" t="s">
        <v>109</v>
      </c>
      <c r="Q72" s="38" t="s">
        <v>891</v>
      </c>
      <c r="R72" s="36" t="s">
        <v>48</v>
      </c>
      <c r="S72" s="36" t="s">
        <v>28</v>
      </c>
      <c r="T72" s="52">
        <v>200325.65</v>
      </c>
      <c r="U72" s="36" t="s">
        <v>49</v>
      </c>
      <c r="V72" s="36">
        <v>7</v>
      </c>
    </row>
    <row r="73" spans="1:22" s="1" customFormat="1" ht="9.5" customHeight="1" x14ac:dyDescent="0.35">
      <c r="A73" s="70">
        <v>72</v>
      </c>
      <c r="B73" s="70">
        <v>2025</v>
      </c>
      <c r="C73" s="117" t="s">
        <v>716</v>
      </c>
      <c r="D73" s="36" t="s">
        <v>30</v>
      </c>
      <c r="E73" s="36" t="s">
        <v>892</v>
      </c>
      <c r="F73" s="70" t="s">
        <v>893</v>
      </c>
      <c r="G73" s="36" t="s">
        <v>56</v>
      </c>
      <c r="H73" s="36" t="s">
        <v>44</v>
      </c>
      <c r="I73" s="36" t="s">
        <v>23</v>
      </c>
      <c r="J73" s="36" t="s">
        <v>24</v>
      </c>
      <c r="K73" s="36" t="s">
        <v>58</v>
      </c>
      <c r="L73" s="68">
        <v>45975</v>
      </c>
      <c r="M73" s="36" t="s">
        <v>53</v>
      </c>
      <c r="N73" s="36" t="s">
        <v>47</v>
      </c>
      <c r="O73" s="36" t="s">
        <v>54</v>
      </c>
      <c r="P73" s="36"/>
      <c r="Q73" s="36"/>
      <c r="R73" s="36" t="s">
        <v>53</v>
      </c>
      <c r="S73" s="36" t="s">
        <v>113</v>
      </c>
      <c r="T73" s="52">
        <v>50389.760000000002</v>
      </c>
      <c r="U73" s="36" t="s">
        <v>49</v>
      </c>
      <c r="V73" s="36">
        <v>3</v>
      </c>
    </row>
    <row r="74" spans="1:22" s="1" customFormat="1" ht="9.5" customHeight="1" x14ac:dyDescent="0.35">
      <c r="A74" s="70">
        <v>73</v>
      </c>
      <c r="B74" s="70">
        <v>2025</v>
      </c>
      <c r="C74" s="117" t="s">
        <v>716</v>
      </c>
      <c r="D74" s="36" t="s">
        <v>55</v>
      </c>
      <c r="E74" s="36" t="s">
        <v>894</v>
      </c>
      <c r="F74" s="70" t="s">
        <v>895</v>
      </c>
      <c r="G74" s="36" t="s">
        <v>56</v>
      </c>
      <c r="H74" s="36" t="s">
        <v>679</v>
      </c>
      <c r="I74" s="36" t="s">
        <v>23</v>
      </c>
      <c r="J74" s="36" t="s">
        <v>68</v>
      </c>
      <c r="K74" s="36" t="s">
        <v>58</v>
      </c>
      <c r="L74" s="36"/>
      <c r="M74" s="36"/>
      <c r="N74" s="36" t="s">
        <v>27</v>
      </c>
      <c r="O74" s="36" t="s">
        <v>89</v>
      </c>
      <c r="P74" s="36"/>
      <c r="Q74" s="36"/>
      <c r="R74" s="36" t="s">
        <v>89</v>
      </c>
      <c r="S74" s="36" t="s">
        <v>82</v>
      </c>
      <c r="T74" s="91">
        <v>36700</v>
      </c>
      <c r="U74" s="36" t="s">
        <v>98</v>
      </c>
      <c r="V74" s="36">
        <v>4</v>
      </c>
    </row>
    <row r="75" spans="1:22" s="1" customFormat="1" ht="9.5" customHeight="1" x14ac:dyDescent="0.35">
      <c r="A75" s="70">
        <v>74</v>
      </c>
      <c r="B75" s="70">
        <v>2025</v>
      </c>
      <c r="C75" s="117" t="s">
        <v>716</v>
      </c>
      <c r="D75" s="36" t="s">
        <v>83</v>
      </c>
      <c r="E75" s="36" t="s">
        <v>882</v>
      </c>
      <c r="F75" s="70" t="s">
        <v>896</v>
      </c>
      <c r="G75" s="36" t="s">
        <v>39</v>
      </c>
      <c r="H75" s="36" t="s">
        <v>44</v>
      </c>
      <c r="I75" s="36" t="s">
        <v>23</v>
      </c>
      <c r="J75" s="36" t="s">
        <v>68</v>
      </c>
      <c r="K75" s="36" t="s">
        <v>25</v>
      </c>
      <c r="L75" s="68">
        <v>45975</v>
      </c>
      <c r="M75" s="36" t="s">
        <v>46</v>
      </c>
      <c r="N75" s="36" t="s">
        <v>41</v>
      </c>
      <c r="O75" s="36" t="s">
        <v>43</v>
      </c>
      <c r="P75" s="36"/>
      <c r="Q75" s="36" t="s">
        <v>191</v>
      </c>
      <c r="R75" s="36" t="s">
        <v>47</v>
      </c>
      <c r="S75" s="36" t="s">
        <v>54</v>
      </c>
      <c r="T75" s="52">
        <v>68280</v>
      </c>
      <c r="U75" s="36" t="s">
        <v>49</v>
      </c>
      <c r="V75" s="36">
        <v>4</v>
      </c>
    </row>
    <row r="76" spans="1:22" s="1" customFormat="1" ht="9.5" customHeight="1" x14ac:dyDescent="0.35">
      <c r="A76" s="70">
        <v>75</v>
      </c>
      <c r="B76" s="70">
        <v>2025</v>
      </c>
      <c r="C76" s="117" t="s">
        <v>716</v>
      </c>
      <c r="D76" s="36" t="s">
        <v>55</v>
      </c>
      <c r="E76" s="36" t="s">
        <v>897</v>
      </c>
      <c r="F76" s="70" t="s">
        <v>898</v>
      </c>
      <c r="G76" s="36" t="s">
        <v>21</v>
      </c>
      <c r="H76" s="36" t="s">
        <v>80</v>
      </c>
      <c r="I76" s="36" t="s">
        <v>23</v>
      </c>
      <c r="J76" s="36" t="s">
        <v>106</v>
      </c>
      <c r="K76" s="36" t="s">
        <v>85</v>
      </c>
      <c r="L76" s="68">
        <v>45961</v>
      </c>
      <c r="M76" s="36" t="s">
        <v>78</v>
      </c>
      <c r="N76" s="36" t="s">
        <v>78</v>
      </c>
      <c r="O76" s="36" t="s">
        <v>78</v>
      </c>
      <c r="P76" s="36"/>
      <c r="Q76" s="36" t="s">
        <v>899</v>
      </c>
      <c r="R76" s="36" t="s">
        <v>78</v>
      </c>
      <c r="S76" s="36"/>
      <c r="T76" s="52">
        <v>34509</v>
      </c>
      <c r="U76" s="36" t="s">
        <v>98</v>
      </c>
      <c r="V76" s="36">
        <v>10</v>
      </c>
    </row>
    <row r="77" spans="1:22" s="1" customFormat="1" ht="9.5" customHeight="1" thickBot="1" x14ac:dyDescent="0.4">
      <c r="A77" s="70">
        <v>76</v>
      </c>
      <c r="B77" s="70">
        <v>2025</v>
      </c>
      <c r="C77" s="117" t="s">
        <v>716</v>
      </c>
      <c r="D77" s="36" t="s">
        <v>19</v>
      </c>
      <c r="E77" s="36" t="s">
        <v>20</v>
      </c>
      <c r="F77" s="70" t="s">
        <v>900</v>
      </c>
      <c r="G77" s="36" t="s">
        <v>21</v>
      </c>
      <c r="H77" s="36" t="s">
        <v>44</v>
      </c>
      <c r="I77" s="36" t="s">
        <v>23</v>
      </c>
      <c r="J77" s="36" t="s">
        <v>901</v>
      </c>
      <c r="K77" s="36" t="s">
        <v>58</v>
      </c>
      <c r="L77" s="68">
        <v>46000</v>
      </c>
      <c r="M77" s="36"/>
      <c r="N77" s="36" t="s">
        <v>41</v>
      </c>
      <c r="O77" s="36"/>
      <c r="P77" s="36"/>
      <c r="Q77" s="36"/>
      <c r="R77" s="36"/>
      <c r="S77" s="36" t="s">
        <v>41</v>
      </c>
      <c r="T77" s="92">
        <v>79843.5</v>
      </c>
      <c r="U77" s="36" t="s">
        <v>49</v>
      </c>
      <c r="V77" s="36">
        <v>12</v>
      </c>
    </row>
    <row r="78" spans="1:22" s="1" customFormat="1" ht="9.5" customHeight="1" x14ac:dyDescent="0.35">
      <c r="A78" s="70">
        <v>77</v>
      </c>
      <c r="B78" s="70">
        <v>2025</v>
      </c>
      <c r="C78" s="117" t="s">
        <v>716</v>
      </c>
      <c r="D78" s="36" t="s">
        <v>55</v>
      </c>
      <c r="E78" s="36" t="s">
        <v>902</v>
      </c>
      <c r="F78" s="70" t="s">
        <v>903</v>
      </c>
      <c r="G78" s="36" t="s">
        <v>79</v>
      </c>
      <c r="H78" s="36" t="s">
        <v>80</v>
      </c>
      <c r="I78" s="36" t="s">
        <v>62</v>
      </c>
      <c r="J78" s="36" t="s">
        <v>75</v>
      </c>
      <c r="K78" s="36" t="s">
        <v>25</v>
      </c>
      <c r="L78" s="68">
        <v>45994</v>
      </c>
      <c r="M78" s="36" t="s">
        <v>46</v>
      </c>
      <c r="N78" s="36" t="s">
        <v>53</v>
      </c>
      <c r="O78" s="36" t="s">
        <v>52</v>
      </c>
      <c r="P78" s="36"/>
      <c r="Q78" s="36" t="s">
        <v>904</v>
      </c>
      <c r="R78" s="36" t="s">
        <v>59</v>
      </c>
      <c r="S78" s="36" t="s">
        <v>52</v>
      </c>
      <c r="T78" s="52">
        <v>121224.44</v>
      </c>
      <c r="U78" s="36" t="s">
        <v>38</v>
      </c>
      <c r="V78" s="36">
        <v>12</v>
      </c>
    </row>
    <row r="79" spans="1:22" s="1" customFormat="1" ht="9.5" customHeight="1" x14ac:dyDescent="0.35">
      <c r="A79" s="70">
        <v>78</v>
      </c>
      <c r="B79" s="70">
        <v>2025</v>
      </c>
      <c r="C79" s="117" t="s">
        <v>716</v>
      </c>
      <c r="D79" s="36" t="s">
        <v>799</v>
      </c>
      <c r="E79" s="36" t="s">
        <v>775</v>
      </c>
      <c r="F79" s="70" t="s">
        <v>905</v>
      </c>
      <c r="G79" s="36"/>
      <c r="H79" s="36"/>
      <c r="I79" s="36"/>
      <c r="J79" s="36"/>
      <c r="K79" s="36"/>
      <c r="L79" s="36"/>
      <c r="M79" s="36" t="s">
        <v>506</v>
      </c>
      <c r="N79" s="36" t="s">
        <v>46</v>
      </c>
      <c r="O79" s="36" t="s">
        <v>61</v>
      </c>
      <c r="P79" s="36"/>
      <c r="Q79" s="36"/>
      <c r="R79" s="36" t="s">
        <v>59</v>
      </c>
      <c r="S79" s="36" t="s">
        <v>28</v>
      </c>
      <c r="T79" s="52"/>
      <c r="U79" s="36" t="s">
        <v>70</v>
      </c>
      <c r="V79" s="36"/>
    </row>
    <row r="80" spans="1:22" s="1" customFormat="1" ht="9.5" customHeight="1" x14ac:dyDescent="0.35">
      <c r="A80" s="70">
        <v>79</v>
      </c>
      <c r="B80" s="70">
        <v>2025</v>
      </c>
      <c r="C80" s="117" t="s">
        <v>716</v>
      </c>
      <c r="D80" s="36" t="s">
        <v>30</v>
      </c>
      <c r="E80" s="36" t="s">
        <v>509</v>
      </c>
      <c r="F80" s="70" t="s">
        <v>906</v>
      </c>
      <c r="G80" s="36"/>
      <c r="H80" s="36"/>
      <c r="I80" s="36" t="s">
        <v>23</v>
      </c>
      <c r="J80" s="36" t="s">
        <v>24</v>
      </c>
      <c r="K80" s="36" t="s">
        <v>85</v>
      </c>
      <c r="L80" s="68">
        <v>46003</v>
      </c>
      <c r="M80" s="36" t="s">
        <v>46</v>
      </c>
      <c r="N80" s="36" t="s">
        <v>59</v>
      </c>
      <c r="O80" s="36" t="s">
        <v>47</v>
      </c>
      <c r="P80" s="36"/>
      <c r="Q80" s="36"/>
      <c r="R80" s="36" t="s">
        <v>59</v>
      </c>
      <c r="S80" s="36" t="s">
        <v>41</v>
      </c>
      <c r="T80" s="52">
        <v>14911.8</v>
      </c>
      <c r="U80" s="36" t="s">
        <v>98</v>
      </c>
      <c r="V80" s="36">
        <v>12</v>
      </c>
    </row>
    <row r="81" spans="1:22" s="1" customFormat="1" ht="9.5" customHeight="1" x14ac:dyDescent="0.35">
      <c r="A81" s="70">
        <v>80</v>
      </c>
      <c r="B81" s="70">
        <v>2025</v>
      </c>
      <c r="C81" s="117" t="s">
        <v>716</v>
      </c>
      <c r="D81" s="36" t="s">
        <v>63</v>
      </c>
      <c r="E81" s="36" t="s">
        <v>155</v>
      </c>
      <c r="F81" s="70" t="s">
        <v>907</v>
      </c>
      <c r="G81" s="36" t="s">
        <v>21</v>
      </c>
      <c r="H81" s="36" t="s">
        <v>40</v>
      </c>
      <c r="I81" s="36" t="s">
        <v>23</v>
      </c>
      <c r="J81" s="36" t="s">
        <v>510</v>
      </c>
      <c r="K81" s="36" t="s">
        <v>58</v>
      </c>
      <c r="L81" s="68">
        <v>46009</v>
      </c>
      <c r="M81" s="36"/>
      <c r="N81" s="36" t="s">
        <v>506</v>
      </c>
      <c r="O81" s="36" t="s">
        <v>61</v>
      </c>
      <c r="P81" s="36"/>
      <c r="Q81" s="36"/>
      <c r="R81" s="36" t="s">
        <v>61</v>
      </c>
      <c r="S81" s="36" t="s">
        <v>41</v>
      </c>
      <c r="T81" s="52">
        <v>125545.89</v>
      </c>
      <c r="U81" s="36" t="s">
        <v>70</v>
      </c>
      <c r="V81" s="36">
        <v>12</v>
      </c>
    </row>
    <row r="82" spans="1:22" s="1" customFormat="1" ht="9.5" customHeight="1" x14ac:dyDescent="0.35">
      <c r="A82" s="70">
        <v>81</v>
      </c>
      <c r="B82" s="70">
        <v>2025</v>
      </c>
      <c r="C82" s="117" t="s">
        <v>716</v>
      </c>
      <c r="D82" s="36" t="s">
        <v>55</v>
      </c>
      <c r="E82" s="36" t="s">
        <v>908</v>
      </c>
      <c r="F82" s="70" t="s">
        <v>909</v>
      </c>
      <c r="G82" s="36" t="s">
        <v>56</v>
      </c>
      <c r="H82" s="36" t="s">
        <v>679</v>
      </c>
      <c r="I82" s="36" t="s">
        <v>23</v>
      </c>
      <c r="J82" s="36" t="s">
        <v>24</v>
      </c>
      <c r="K82" s="36" t="s">
        <v>58</v>
      </c>
      <c r="L82" s="68">
        <v>46006</v>
      </c>
      <c r="M82" s="36" t="s">
        <v>53</v>
      </c>
      <c r="N82" s="36" t="s">
        <v>53</v>
      </c>
      <c r="O82" s="36" t="s">
        <v>53</v>
      </c>
      <c r="P82" s="36"/>
      <c r="Q82" s="36"/>
      <c r="R82" s="36" t="s">
        <v>53</v>
      </c>
      <c r="S82" s="36" t="s">
        <v>52</v>
      </c>
      <c r="T82" s="52">
        <v>32598.3</v>
      </c>
      <c r="U82" s="36" t="s">
        <v>49</v>
      </c>
      <c r="V82" s="36">
        <v>3</v>
      </c>
    </row>
    <row r="83" spans="1:22" s="1" customFormat="1" ht="9.5" customHeight="1" x14ac:dyDescent="0.35">
      <c r="A83" s="70">
        <v>82</v>
      </c>
      <c r="B83" s="70">
        <v>2025</v>
      </c>
      <c r="C83" s="117" t="s">
        <v>716</v>
      </c>
      <c r="D83" s="36" t="s">
        <v>55</v>
      </c>
      <c r="E83" s="36" t="s">
        <v>721</v>
      </c>
      <c r="F83" s="70" t="s">
        <v>722</v>
      </c>
      <c r="G83" s="36" t="s">
        <v>56</v>
      </c>
      <c r="H83" s="36" t="s">
        <v>40</v>
      </c>
      <c r="I83" s="36" t="s">
        <v>23</v>
      </c>
      <c r="J83" s="36" t="s">
        <v>75</v>
      </c>
      <c r="K83" s="36" t="s">
        <v>58</v>
      </c>
      <c r="L83" s="68">
        <v>46009</v>
      </c>
      <c r="M83" s="36" t="s">
        <v>53</v>
      </c>
      <c r="N83" s="36" t="s">
        <v>52</v>
      </c>
      <c r="O83" s="36" t="s">
        <v>52</v>
      </c>
      <c r="P83" s="36"/>
      <c r="Q83" s="36" t="s">
        <v>910</v>
      </c>
      <c r="R83" s="36" t="s">
        <v>53</v>
      </c>
      <c r="S83" s="36" t="s">
        <v>52</v>
      </c>
      <c r="T83" s="52">
        <v>97912</v>
      </c>
      <c r="U83" s="36" t="s">
        <v>70</v>
      </c>
      <c r="V83" s="36"/>
    </row>
    <row r="84" spans="1:22" s="1" customFormat="1" ht="9.5" customHeight="1" x14ac:dyDescent="0.35">
      <c r="A84" s="70">
        <v>83</v>
      </c>
      <c r="B84" s="70">
        <v>2025</v>
      </c>
      <c r="C84" s="117" t="s">
        <v>716</v>
      </c>
      <c r="D84" s="36" t="s">
        <v>55</v>
      </c>
      <c r="E84" s="36" t="s">
        <v>817</v>
      </c>
      <c r="F84" s="70" t="s">
        <v>911</v>
      </c>
      <c r="G84" s="36" t="s">
        <v>56</v>
      </c>
      <c r="H84" s="36" t="s">
        <v>22</v>
      </c>
      <c r="I84" s="36" t="s">
        <v>23</v>
      </c>
      <c r="J84" s="36" t="s">
        <v>93</v>
      </c>
      <c r="K84" s="36" t="s">
        <v>25</v>
      </c>
      <c r="L84" s="36"/>
      <c r="M84" s="36"/>
      <c r="N84" s="36" t="s">
        <v>36</v>
      </c>
      <c r="O84" s="36" t="s">
        <v>90</v>
      </c>
      <c r="P84" s="36"/>
      <c r="Q84" s="36" t="s">
        <v>912</v>
      </c>
      <c r="R84" s="36" t="s">
        <v>90</v>
      </c>
      <c r="S84" s="36" t="s">
        <v>37</v>
      </c>
      <c r="T84" s="91">
        <v>35082</v>
      </c>
      <c r="U84" s="36" t="s">
        <v>98</v>
      </c>
      <c r="V84" s="36">
        <v>5</v>
      </c>
    </row>
    <row r="85" spans="1:22" s="1" customFormat="1" ht="9.5" customHeight="1" x14ac:dyDescent="0.35">
      <c r="A85" s="70">
        <v>84</v>
      </c>
      <c r="B85" s="70">
        <v>2025</v>
      </c>
      <c r="C85" s="117" t="s">
        <v>716</v>
      </c>
      <c r="D85" s="36" t="s">
        <v>55</v>
      </c>
      <c r="E85" s="36" t="s">
        <v>73</v>
      </c>
      <c r="F85" s="88" t="s">
        <v>913</v>
      </c>
      <c r="G85" s="36" t="s">
        <v>34</v>
      </c>
      <c r="H85" s="36" t="s">
        <v>40</v>
      </c>
      <c r="I85" s="36" t="s">
        <v>23</v>
      </c>
      <c r="J85" s="36" t="s">
        <v>24</v>
      </c>
      <c r="K85" s="36" t="s">
        <v>85</v>
      </c>
      <c r="L85" s="68">
        <v>45967</v>
      </c>
      <c r="M85" s="36" t="s">
        <v>47</v>
      </c>
      <c r="N85" s="36"/>
      <c r="O85" s="36"/>
      <c r="P85" s="36"/>
      <c r="Q85" s="36"/>
      <c r="R85" s="36" t="s">
        <v>47</v>
      </c>
      <c r="S85" s="36" t="s">
        <v>43</v>
      </c>
      <c r="T85" s="52"/>
      <c r="U85" s="36" t="s">
        <v>49</v>
      </c>
      <c r="V85" s="36"/>
    </row>
    <row r="86" spans="1:22" s="1" customFormat="1" ht="9.5" customHeight="1" x14ac:dyDescent="0.35">
      <c r="A86" s="70">
        <v>85</v>
      </c>
      <c r="B86" s="70">
        <v>2025</v>
      </c>
      <c r="C86" s="117" t="s">
        <v>716</v>
      </c>
      <c r="D86" s="36" t="s">
        <v>30</v>
      </c>
      <c r="E86" s="36" t="s">
        <v>914</v>
      </c>
      <c r="F86" s="88" t="s">
        <v>915</v>
      </c>
      <c r="G86" s="36" t="s">
        <v>21</v>
      </c>
      <c r="H86" s="36" t="s">
        <v>51</v>
      </c>
      <c r="I86" s="36" t="s">
        <v>23</v>
      </c>
      <c r="J86" s="36" t="s">
        <v>916</v>
      </c>
      <c r="K86" s="36" t="s">
        <v>58</v>
      </c>
      <c r="L86" s="93">
        <v>45988</v>
      </c>
      <c r="M86" s="36"/>
      <c r="N86" s="36"/>
      <c r="O86" s="36"/>
      <c r="P86" s="36"/>
      <c r="Q86" s="36"/>
      <c r="R86" s="36" t="s">
        <v>54</v>
      </c>
      <c r="S86" s="36" t="s">
        <v>54</v>
      </c>
      <c r="T86" s="52">
        <f>86429+12355</f>
        <v>98784</v>
      </c>
      <c r="U86" s="36" t="s">
        <v>49</v>
      </c>
      <c r="V86" s="36">
        <v>6</v>
      </c>
    </row>
    <row r="87" spans="1:22" s="1" customFormat="1" ht="9.5" customHeight="1" x14ac:dyDescent="0.35">
      <c r="A87" s="70">
        <v>86</v>
      </c>
      <c r="B87" s="70">
        <v>2025</v>
      </c>
      <c r="C87" s="117" t="s">
        <v>716</v>
      </c>
      <c r="D87" s="36" t="s">
        <v>55</v>
      </c>
      <c r="E87" s="36" t="s">
        <v>746</v>
      </c>
      <c r="F87" s="88" t="s">
        <v>917</v>
      </c>
      <c r="G87" s="36" t="s">
        <v>34</v>
      </c>
      <c r="H87" s="36" t="s">
        <v>44</v>
      </c>
      <c r="I87" s="36" t="s">
        <v>23</v>
      </c>
      <c r="J87" s="36" t="s">
        <v>231</v>
      </c>
      <c r="K87" s="36" t="s">
        <v>25</v>
      </c>
      <c r="L87" s="68">
        <v>45809</v>
      </c>
      <c r="M87" s="36" t="s">
        <v>78</v>
      </c>
      <c r="N87" s="36" t="s">
        <v>41</v>
      </c>
      <c r="O87" s="36" t="s">
        <v>41</v>
      </c>
      <c r="P87" s="36" t="s">
        <v>32</v>
      </c>
      <c r="Q87" s="36" t="s">
        <v>918</v>
      </c>
      <c r="R87" s="36" t="s">
        <v>78</v>
      </c>
      <c r="S87" s="36" t="s">
        <v>41</v>
      </c>
      <c r="T87" s="52">
        <v>129029</v>
      </c>
      <c r="U87" s="36" t="s">
        <v>49</v>
      </c>
      <c r="V87" s="36"/>
    </row>
    <row r="88" spans="1:22" s="1" customFormat="1" ht="9.5" customHeight="1" x14ac:dyDescent="0.35">
      <c r="A88" s="70">
        <v>87</v>
      </c>
      <c r="B88" s="70">
        <v>2025</v>
      </c>
      <c r="C88" s="117" t="s">
        <v>716</v>
      </c>
      <c r="D88" s="36" t="s">
        <v>55</v>
      </c>
      <c r="E88" s="36" t="s">
        <v>817</v>
      </c>
      <c r="F88" s="70" t="s">
        <v>919</v>
      </c>
      <c r="G88" s="36" t="s">
        <v>56</v>
      </c>
      <c r="H88" s="36" t="s">
        <v>920</v>
      </c>
      <c r="I88" s="36" t="s">
        <v>23</v>
      </c>
      <c r="J88" s="36" t="s">
        <v>921</v>
      </c>
      <c r="K88" s="36" t="s">
        <v>58</v>
      </c>
      <c r="L88" s="68">
        <v>45975</v>
      </c>
      <c r="M88" s="36"/>
      <c r="N88" s="36" t="s">
        <v>78</v>
      </c>
      <c r="O88" s="36" t="s">
        <v>65</v>
      </c>
      <c r="P88" s="36" t="s">
        <v>506</v>
      </c>
      <c r="Q88" s="36"/>
      <c r="R88" s="36" t="s">
        <v>78</v>
      </c>
      <c r="S88" s="36" t="s">
        <v>82</v>
      </c>
      <c r="T88" s="91">
        <v>44401</v>
      </c>
      <c r="U88" s="36" t="s">
        <v>98</v>
      </c>
      <c r="V88" s="36">
        <v>3</v>
      </c>
    </row>
    <row r="89" spans="1:22" s="1" customFormat="1" ht="9.5" customHeight="1" x14ac:dyDescent="0.35">
      <c r="A89" s="70">
        <v>88</v>
      </c>
      <c r="B89" s="70">
        <v>2025</v>
      </c>
      <c r="C89" s="117" t="s">
        <v>716</v>
      </c>
      <c r="D89" s="36" t="s">
        <v>55</v>
      </c>
      <c r="E89" s="36" t="s">
        <v>817</v>
      </c>
      <c r="F89" s="70" t="s">
        <v>922</v>
      </c>
      <c r="G89" s="36" t="s">
        <v>56</v>
      </c>
      <c r="H89" s="36" t="s">
        <v>679</v>
      </c>
      <c r="I89" s="36" t="s">
        <v>23</v>
      </c>
      <c r="J89" s="36" t="s">
        <v>923</v>
      </c>
      <c r="K89" s="36" t="s">
        <v>58</v>
      </c>
      <c r="L89" s="68">
        <v>46014</v>
      </c>
      <c r="M89" s="36"/>
      <c r="N89" s="36"/>
      <c r="O89" s="36"/>
      <c r="P89" s="36"/>
      <c r="Q89" s="36"/>
      <c r="R89" s="36" t="s">
        <v>59</v>
      </c>
      <c r="S89" s="36" t="s">
        <v>52</v>
      </c>
      <c r="T89" s="91">
        <v>66785</v>
      </c>
      <c r="U89" s="36" t="s">
        <v>98</v>
      </c>
      <c r="V89" s="36">
        <v>5</v>
      </c>
    </row>
    <row r="90" spans="1:22" s="1" customFormat="1" ht="9.5" customHeight="1" x14ac:dyDescent="0.35">
      <c r="A90" s="70">
        <v>89</v>
      </c>
      <c r="B90" s="70">
        <v>2025</v>
      </c>
      <c r="C90" s="117" t="s">
        <v>716</v>
      </c>
      <c r="D90" s="36" t="s">
        <v>55</v>
      </c>
      <c r="E90" s="36" t="s">
        <v>840</v>
      </c>
      <c r="F90" s="70" t="s">
        <v>924</v>
      </c>
      <c r="G90" s="36" t="s">
        <v>21</v>
      </c>
      <c r="H90" s="36" t="s">
        <v>679</v>
      </c>
      <c r="I90" s="36" t="s">
        <v>23</v>
      </c>
      <c r="J90" s="36" t="s">
        <v>57</v>
      </c>
      <c r="K90" s="36" t="s">
        <v>58</v>
      </c>
      <c r="L90" s="68">
        <v>45950</v>
      </c>
      <c r="M90" s="36" t="s">
        <v>78</v>
      </c>
      <c r="N90" s="36" t="s">
        <v>78</v>
      </c>
      <c r="O90" s="36" t="s">
        <v>92</v>
      </c>
      <c r="P90" s="36"/>
      <c r="Q90" s="36"/>
      <c r="R90" s="36" t="s">
        <v>78</v>
      </c>
      <c r="S90" s="36" t="s">
        <v>28</v>
      </c>
      <c r="T90" s="94">
        <v>29983.37</v>
      </c>
      <c r="U90" s="36" t="s">
        <v>70</v>
      </c>
      <c r="V90" s="36"/>
    </row>
    <row r="91" spans="1:22" s="1" customFormat="1" ht="9.5" customHeight="1" x14ac:dyDescent="0.35">
      <c r="A91" s="70">
        <v>90</v>
      </c>
      <c r="B91" s="70">
        <v>2025</v>
      </c>
      <c r="C91" s="117" t="s">
        <v>716</v>
      </c>
      <c r="D91" s="36" t="s">
        <v>55</v>
      </c>
      <c r="E91" s="36" t="s">
        <v>840</v>
      </c>
      <c r="F91" s="70" t="s">
        <v>925</v>
      </c>
      <c r="G91" s="36" t="s">
        <v>21</v>
      </c>
      <c r="H91" s="36" t="s">
        <v>679</v>
      </c>
      <c r="I91" s="36" t="s">
        <v>23</v>
      </c>
      <c r="J91" s="36" t="s">
        <v>926</v>
      </c>
      <c r="K91" s="36" t="s">
        <v>58</v>
      </c>
      <c r="L91" s="68">
        <v>45964</v>
      </c>
      <c r="M91" s="36" t="s">
        <v>78</v>
      </c>
      <c r="N91" s="36" t="s">
        <v>78</v>
      </c>
      <c r="O91" s="36" t="s">
        <v>48</v>
      </c>
      <c r="P91" s="36"/>
      <c r="Q91" s="36"/>
      <c r="R91" s="36" t="s">
        <v>48</v>
      </c>
      <c r="S91" s="36" t="s">
        <v>78</v>
      </c>
      <c r="T91" s="94">
        <v>39458.5</v>
      </c>
      <c r="U91" s="36" t="s">
        <v>70</v>
      </c>
      <c r="V91" s="36"/>
    </row>
    <row r="92" spans="1:22" s="1" customFormat="1" ht="9.5" customHeight="1" x14ac:dyDescent="0.35">
      <c r="A92" s="70">
        <v>91</v>
      </c>
      <c r="B92" s="70">
        <v>2025</v>
      </c>
      <c r="C92" s="117" t="s">
        <v>716</v>
      </c>
      <c r="D92" s="36" t="s">
        <v>55</v>
      </c>
      <c r="E92" s="36" t="s">
        <v>840</v>
      </c>
      <c r="F92" s="70"/>
      <c r="G92" s="36" t="s">
        <v>21</v>
      </c>
      <c r="H92" s="36" t="s">
        <v>679</v>
      </c>
      <c r="I92" s="36" t="s">
        <v>23</v>
      </c>
      <c r="J92" s="36" t="s">
        <v>114</v>
      </c>
      <c r="K92" s="36" t="s">
        <v>58</v>
      </c>
      <c r="L92" s="68">
        <v>46015</v>
      </c>
      <c r="M92" s="36" t="s">
        <v>78</v>
      </c>
      <c r="N92" s="36" t="s">
        <v>78</v>
      </c>
      <c r="O92" s="36" t="s">
        <v>43</v>
      </c>
      <c r="P92" s="36"/>
      <c r="Q92" s="36"/>
      <c r="R92" s="36" t="s">
        <v>78</v>
      </c>
      <c r="S92" s="36" t="s">
        <v>54</v>
      </c>
      <c r="T92" s="91">
        <v>32197</v>
      </c>
      <c r="U92" s="36" t="s">
        <v>49</v>
      </c>
      <c r="V92" s="36">
        <v>4</v>
      </c>
    </row>
    <row r="93" spans="1:22" s="1" customFormat="1" ht="9.5" customHeight="1" x14ac:dyDescent="0.35">
      <c r="A93" s="70">
        <v>92</v>
      </c>
      <c r="B93" s="70">
        <v>2025</v>
      </c>
      <c r="C93" s="117" t="s">
        <v>716</v>
      </c>
      <c r="D93" s="36" t="s">
        <v>19</v>
      </c>
      <c r="E93" s="36" t="s">
        <v>20</v>
      </c>
      <c r="F93" s="70" t="s">
        <v>927</v>
      </c>
      <c r="G93" s="36" t="s">
        <v>56</v>
      </c>
      <c r="H93" s="36" t="s">
        <v>40</v>
      </c>
      <c r="I93" s="36" t="s">
        <v>23</v>
      </c>
      <c r="J93" s="36" t="s">
        <v>71</v>
      </c>
      <c r="K93" s="36" t="s">
        <v>58</v>
      </c>
      <c r="L93" s="36"/>
      <c r="M93" s="36" t="s">
        <v>506</v>
      </c>
      <c r="N93" s="36" t="s">
        <v>36</v>
      </c>
      <c r="O93" s="36" t="s">
        <v>89</v>
      </c>
      <c r="P93" s="36"/>
      <c r="Q93" s="36" t="s">
        <v>928</v>
      </c>
      <c r="R93" s="36" t="s">
        <v>53</v>
      </c>
      <c r="S93" s="36" t="s">
        <v>52</v>
      </c>
      <c r="T93" s="52"/>
      <c r="U93" s="36" t="s">
        <v>95</v>
      </c>
      <c r="V93" s="36">
        <v>4</v>
      </c>
    </row>
    <row r="94" spans="1:22" s="1" customFormat="1" ht="9.5" customHeight="1" x14ac:dyDescent="0.35">
      <c r="A94" s="70">
        <v>93</v>
      </c>
      <c r="B94" s="70">
        <v>2025</v>
      </c>
      <c r="C94" s="117" t="s">
        <v>716</v>
      </c>
      <c r="D94" s="36" t="s">
        <v>83</v>
      </c>
      <c r="E94" s="36" t="s">
        <v>122</v>
      </c>
      <c r="F94" s="70" t="s">
        <v>929</v>
      </c>
      <c r="G94" s="36" t="s">
        <v>34</v>
      </c>
      <c r="H94" s="36" t="s">
        <v>44</v>
      </c>
      <c r="I94" s="36" t="s">
        <v>23</v>
      </c>
      <c r="J94" s="36" t="s">
        <v>71</v>
      </c>
      <c r="K94" s="36" t="s">
        <v>58</v>
      </c>
      <c r="L94" s="68">
        <v>46003</v>
      </c>
      <c r="M94" s="36" t="s">
        <v>506</v>
      </c>
      <c r="N94" s="36" t="s">
        <v>47</v>
      </c>
      <c r="O94" s="36" t="s">
        <v>59</v>
      </c>
      <c r="P94" s="36"/>
      <c r="Q94" s="36" t="s">
        <v>930</v>
      </c>
      <c r="R94" s="36" t="s">
        <v>59</v>
      </c>
      <c r="S94" s="36" t="s">
        <v>28</v>
      </c>
      <c r="T94" s="52">
        <v>89955.32</v>
      </c>
      <c r="U94" s="36" t="s">
        <v>49</v>
      </c>
      <c r="V94" s="36">
        <v>12</v>
      </c>
    </row>
    <row r="95" spans="1:22" s="1" customFormat="1" ht="9.5" customHeight="1" x14ac:dyDescent="0.35">
      <c r="A95" s="70">
        <v>94</v>
      </c>
      <c r="B95" s="70">
        <v>2025</v>
      </c>
      <c r="C95" s="117" t="s">
        <v>716</v>
      </c>
      <c r="D95" s="36" t="s">
        <v>83</v>
      </c>
      <c r="E95" s="36" t="s">
        <v>73</v>
      </c>
      <c r="F95" s="70" t="s">
        <v>879</v>
      </c>
      <c r="G95" s="36" t="s">
        <v>34</v>
      </c>
      <c r="H95" s="36" t="s">
        <v>84</v>
      </c>
      <c r="I95" s="36" t="s">
        <v>23</v>
      </c>
      <c r="J95" s="36" t="s">
        <v>931</v>
      </c>
      <c r="K95" s="36" t="s">
        <v>58</v>
      </c>
      <c r="L95" s="36"/>
      <c r="M95" s="36"/>
      <c r="N95" s="36"/>
      <c r="O95" s="36" t="s">
        <v>65</v>
      </c>
      <c r="P95" s="36"/>
      <c r="Q95" s="36"/>
      <c r="R95" s="36" t="s">
        <v>61</v>
      </c>
      <c r="S95" s="36" t="s">
        <v>113</v>
      </c>
      <c r="T95" s="52">
        <v>450000</v>
      </c>
      <c r="U95" s="36" t="s">
        <v>49</v>
      </c>
      <c r="V95" s="36"/>
    </row>
    <row r="96" spans="1:22" s="1" customFormat="1" ht="11.5" customHeight="1" x14ac:dyDescent="0.35">
      <c r="A96" s="70">
        <v>95</v>
      </c>
      <c r="B96" s="70">
        <v>2025</v>
      </c>
      <c r="C96" s="117" t="s">
        <v>716</v>
      </c>
      <c r="D96" s="36" t="s">
        <v>83</v>
      </c>
      <c r="E96" s="36"/>
      <c r="F96" s="70" t="s">
        <v>932</v>
      </c>
      <c r="G96" s="36" t="s">
        <v>508</v>
      </c>
      <c r="H96" s="36" t="s">
        <v>84</v>
      </c>
      <c r="I96" s="36" t="s">
        <v>23</v>
      </c>
      <c r="J96" s="36" t="s">
        <v>933</v>
      </c>
      <c r="K96" s="36" t="s">
        <v>85</v>
      </c>
      <c r="L96" s="36"/>
      <c r="M96" s="36"/>
      <c r="N96" s="36"/>
      <c r="O96" s="36"/>
      <c r="P96" s="36"/>
      <c r="Q96" s="36"/>
      <c r="R96" s="36"/>
      <c r="S96" s="36"/>
      <c r="T96" s="52"/>
      <c r="U96" s="36"/>
      <c r="V96" s="36"/>
    </row>
    <row r="97" spans="1:22" ht="10" customHeight="1" x14ac:dyDescent="0.25">
      <c r="A97" s="36">
        <v>96</v>
      </c>
      <c r="B97" s="51">
        <v>2026</v>
      </c>
      <c r="C97" s="117" t="s">
        <v>76</v>
      </c>
      <c r="D97" s="36" t="s">
        <v>517</v>
      </c>
      <c r="E97" s="36" t="s">
        <v>518</v>
      </c>
      <c r="F97" s="36" t="s">
        <v>519</v>
      </c>
      <c r="G97" s="36" t="s">
        <v>34</v>
      </c>
      <c r="H97" s="36" t="s">
        <v>44</v>
      </c>
      <c r="I97" s="36" t="s">
        <v>104</v>
      </c>
      <c r="J97" s="36" t="s">
        <v>24</v>
      </c>
      <c r="K97" s="36" t="s">
        <v>58</v>
      </c>
      <c r="L97" s="37">
        <v>46106</v>
      </c>
      <c r="M97" s="36"/>
      <c r="N97" s="36"/>
      <c r="O97" s="36"/>
      <c r="P97" s="36"/>
      <c r="Q97" s="36"/>
      <c r="R97" s="36"/>
      <c r="S97" s="36" t="s">
        <v>33</v>
      </c>
      <c r="T97" s="52"/>
      <c r="U97" s="36" t="s">
        <v>38</v>
      </c>
      <c r="V97" s="36">
        <v>12</v>
      </c>
    </row>
    <row r="98" spans="1:22" ht="10" customHeight="1" x14ac:dyDescent="0.25">
      <c r="A98" s="36">
        <v>97</v>
      </c>
      <c r="B98" s="51">
        <v>2026</v>
      </c>
      <c r="C98" s="117" t="s">
        <v>76</v>
      </c>
      <c r="D98" s="36" t="s">
        <v>63</v>
      </c>
      <c r="E98" s="36" t="s">
        <v>520</v>
      </c>
      <c r="F98" s="36" t="s">
        <v>521</v>
      </c>
      <c r="G98" s="36" t="s">
        <v>508</v>
      </c>
      <c r="H98" s="36" t="s">
        <v>80</v>
      </c>
      <c r="I98" s="36" t="s">
        <v>62</v>
      </c>
      <c r="J98" s="36" t="s">
        <v>522</v>
      </c>
      <c r="K98" s="36" t="s">
        <v>77</v>
      </c>
      <c r="L98" s="37">
        <v>46058</v>
      </c>
      <c r="M98" s="36" t="s">
        <v>523</v>
      </c>
      <c r="N98" s="36" t="s">
        <v>78</v>
      </c>
      <c r="O98" s="36" t="s">
        <v>47</v>
      </c>
      <c r="P98" s="36" t="s">
        <v>78</v>
      </c>
      <c r="Q98" s="36"/>
      <c r="R98" s="36" t="s">
        <v>78</v>
      </c>
      <c r="S98" s="36" t="s">
        <v>52</v>
      </c>
      <c r="T98" s="52">
        <v>88164.800000000003</v>
      </c>
      <c r="U98" s="36" t="s">
        <v>49</v>
      </c>
      <c r="V98" s="36">
        <v>12</v>
      </c>
    </row>
    <row r="99" spans="1:22" ht="10" customHeight="1" x14ac:dyDescent="0.25">
      <c r="A99" s="36">
        <v>98</v>
      </c>
      <c r="B99" s="51">
        <v>2026</v>
      </c>
      <c r="C99" s="117" t="s">
        <v>76</v>
      </c>
      <c r="D99" s="36" t="s">
        <v>83</v>
      </c>
      <c r="E99" s="36" t="s">
        <v>524</v>
      </c>
      <c r="F99" s="36" t="s">
        <v>525</v>
      </c>
      <c r="G99" s="36" t="s">
        <v>50</v>
      </c>
      <c r="H99" s="36" t="s">
        <v>526</v>
      </c>
      <c r="I99" s="36" t="s">
        <v>23</v>
      </c>
      <c r="J99" s="36" t="s">
        <v>114</v>
      </c>
      <c r="K99" s="36" t="s">
        <v>77</v>
      </c>
      <c r="L99" s="37">
        <v>46048</v>
      </c>
      <c r="M99" s="36" t="s">
        <v>523</v>
      </c>
      <c r="N99" s="36" t="s">
        <v>36</v>
      </c>
      <c r="O99" s="36"/>
      <c r="P99" s="36" t="s">
        <v>78</v>
      </c>
      <c r="Q99" s="36" t="s">
        <v>527</v>
      </c>
      <c r="R99" s="36" t="s">
        <v>506</v>
      </c>
      <c r="S99" s="36" t="s">
        <v>78</v>
      </c>
      <c r="T99" s="52">
        <v>27885.8544</v>
      </c>
      <c r="U99" s="36" t="s">
        <v>70</v>
      </c>
      <c r="V99" s="36">
        <v>3</v>
      </c>
    </row>
    <row r="100" spans="1:22" ht="10" customHeight="1" x14ac:dyDescent="0.25">
      <c r="A100" s="36">
        <v>99</v>
      </c>
      <c r="B100" s="51">
        <v>2026</v>
      </c>
      <c r="C100" s="117" t="s">
        <v>76</v>
      </c>
      <c r="D100" s="36" t="s">
        <v>55</v>
      </c>
      <c r="E100" s="36" t="s">
        <v>528</v>
      </c>
      <c r="F100" s="54" t="s">
        <v>529</v>
      </c>
      <c r="G100" s="36" t="s">
        <v>39</v>
      </c>
      <c r="H100" s="36" t="s">
        <v>526</v>
      </c>
      <c r="I100" s="36" t="s">
        <v>23</v>
      </c>
      <c r="J100" s="36" t="s">
        <v>530</v>
      </c>
      <c r="K100" s="36" t="s">
        <v>58</v>
      </c>
      <c r="L100" s="37">
        <v>46059</v>
      </c>
      <c r="M100" s="36" t="s">
        <v>523</v>
      </c>
      <c r="N100" s="36" t="s">
        <v>78</v>
      </c>
      <c r="O100" s="36" t="s">
        <v>506</v>
      </c>
      <c r="P100" s="36" t="s">
        <v>78</v>
      </c>
      <c r="Q100" s="36"/>
      <c r="R100" s="36" t="s">
        <v>65</v>
      </c>
      <c r="S100" s="36" t="s">
        <v>78</v>
      </c>
      <c r="T100" s="52">
        <v>70782.352941176476</v>
      </c>
      <c r="U100" s="36" t="s">
        <v>49</v>
      </c>
      <c r="V100" s="36">
        <v>4</v>
      </c>
    </row>
    <row r="101" spans="1:22" ht="10" customHeight="1" x14ac:dyDescent="0.25">
      <c r="A101" s="36">
        <v>100</v>
      </c>
      <c r="B101" s="51">
        <v>2026</v>
      </c>
      <c r="C101" s="117" t="s">
        <v>76</v>
      </c>
      <c r="D101" s="36" t="s">
        <v>83</v>
      </c>
      <c r="E101" s="36" t="s">
        <v>531</v>
      </c>
      <c r="F101" s="36" t="s">
        <v>532</v>
      </c>
      <c r="G101" s="36" t="s">
        <v>56</v>
      </c>
      <c r="H101" s="36" t="s">
        <v>51</v>
      </c>
      <c r="I101" s="36" t="s">
        <v>23</v>
      </c>
      <c r="J101" s="36" t="s">
        <v>533</v>
      </c>
      <c r="K101" s="36" t="s">
        <v>25</v>
      </c>
      <c r="L101" s="37">
        <v>46073</v>
      </c>
      <c r="M101" s="36"/>
      <c r="N101" s="36"/>
      <c r="O101" s="36"/>
      <c r="P101" s="36"/>
      <c r="Q101" s="36" t="s">
        <v>534</v>
      </c>
      <c r="R101" s="36" t="s">
        <v>506</v>
      </c>
      <c r="S101" s="36" t="s">
        <v>37</v>
      </c>
      <c r="T101" s="52">
        <v>1975000</v>
      </c>
      <c r="U101" s="36" t="s">
        <v>49</v>
      </c>
      <c r="V101" s="36">
        <v>24</v>
      </c>
    </row>
    <row r="102" spans="1:22" ht="10" customHeight="1" x14ac:dyDescent="0.25">
      <c r="A102" s="36">
        <v>101</v>
      </c>
      <c r="B102" s="51">
        <v>2026</v>
      </c>
      <c r="C102" s="117" t="s">
        <v>76</v>
      </c>
      <c r="D102" s="36" t="s">
        <v>55</v>
      </c>
      <c r="E102" s="36" t="s">
        <v>42</v>
      </c>
      <c r="F102" s="36" t="s">
        <v>535</v>
      </c>
      <c r="G102" s="36" t="s">
        <v>34</v>
      </c>
      <c r="H102" s="36" t="s">
        <v>40</v>
      </c>
      <c r="I102" s="36" t="s">
        <v>23</v>
      </c>
      <c r="J102" s="36" t="s">
        <v>24</v>
      </c>
      <c r="K102" s="36" t="s">
        <v>58</v>
      </c>
      <c r="L102" s="37">
        <v>46045</v>
      </c>
      <c r="M102" s="36" t="s">
        <v>506</v>
      </c>
      <c r="N102" s="36" t="s">
        <v>47</v>
      </c>
      <c r="O102" s="36" t="s">
        <v>61</v>
      </c>
      <c r="P102" s="36"/>
      <c r="Q102" s="36"/>
      <c r="R102" s="36" t="s">
        <v>47</v>
      </c>
      <c r="S102" s="36" t="s">
        <v>52</v>
      </c>
      <c r="T102" s="52">
        <v>240956.94</v>
      </c>
      <c r="U102" s="36" t="s">
        <v>49</v>
      </c>
      <c r="V102" s="36">
        <v>15</v>
      </c>
    </row>
    <row r="103" spans="1:22" ht="10" customHeight="1" x14ac:dyDescent="0.25">
      <c r="A103" s="36">
        <v>102</v>
      </c>
      <c r="B103" s="51">
        <v>2026</v>
      </c>
      <c r="C103" s="117" t="s">
        <v>76</v>
      </c>
      <c r="D103" s="36" t="s">
        <v>55</v>
      </c>
      <c r="E103" s="36" t="s">
        <v>536</v>
      </c>
      <c r="F103" s="38" t="s">
        <v>537</v>
      </c>
      <c r="G103" s="36" t="s">
        <v>56</v>
      </c>
      <c r="H103" s="36" t="s">
        <v>22</v>
      </c>
      <c r="I103" s="36" t="s">
        <v>23</v>
      </c>
      <c r="J103" s="36" t="s">
        <v>68</v>
      </c>
      <c r="K103" s="36" t="s">
        <v>85</v>
      </c>
      <c r="L103" s="37">
        <v>46038</v>
      </c>
      <c r="M103" s="36" t="s">
        <v>47</v>
      </c>
      <c r="N103" s="36"/>
      <c r="O103" s="36"/>
      <c r="P103" s="36" t="s">
        <v>538</v>
      </c>
      <c r="Q103" s="36" t="s">
        <v>539</v>
      </c>
      <c r="R103" s="36" t="s">
        <v>47</v>
      </c>
      <c r="S103" s="36" t="s">
        <v>28</v>
      </c>
      <c r="T103" s="52">
        <v>41008</v>
      </c>
      <c r="U103" s="36" t="s">
        <v>49</v>
      </c>
      <c r="V103" s="36"/>
    </row>
    <row r="104" spans="1:22" ht="10" customHeight="1" x14ac:dyDescent="0.25">
      <c r="A104" s="36">
        <v>103</v>
      </c>
      <c r="B104" s="51">
        <v>2026</v>
      </c>
      <c r="C104" s="117" t="s">
        <v>76</v>
      </c>
      <c r="D104" s="36" t="s">
        <v>69</v>
      </c>
      <c r="E104" s="36" t="s">
        <v>540</v>
      </c>
      <c r="F104" s="36" t="s">
        <v>541</v>
      </c>
      <c r="G104" s="36" t="s">
        <v>74</v>
      </c>
      <c r="H104" s="36" t="s">
        <v>44</v>
      </c>
      <c r="I104" s="36" t="s">
        <v>62</v>
      </c>
      <c r="J104" s="36" t="s">
        <v>24</v>
      </c>
      <c r="K104" s="36" t="s">
        <v>25</v>
      </c>
      <c r="L104" s="37">
        <v>46055</v>
      </c>
      <c r="M104" s="36" t="s">
        <v>60</v>
      </c>
      <c r="N104" s="36" t="s">
        <v>36</v>
      </c>
      <c r="O104" s="36" t="s">
        <v>92</v>
      </c>
      <c r="P104" s="36"/>
      <c r="Q104" s="36" t="s">
        <v>542</v>
      </c>
      <c r="R104" s="36" t="s">
        <v>36</v>
      </c>
      <c r="S104" s="36" t="s">
        <v>43</v>
      </c>
      <c r="T104" s="52">
        <v>40761</v>
      </c>
      <c r="U104" s="36" t="s">
        <v>49</v>
      </c>
      <c r="V104" s="36">
        <v>2</v>
      </c>
    </row>
    <row r="105" spans="1:22" ht="10" customHeight="1" x14ac:dyDescent="0.25">
      <c r="A105" s="36">
        <v>104</v>
      </c>
      <c r="B105" s="51">
        <v>2026</v>
      </c>
      <c r="C105" s="117" t="s">
        <v>76</v>
      </c>
      <c r="D105" s="36" t="s">
        <v>55</v>
      </c>
      <c r="E105" s="36" t="s">
        <v>543</v>
      </c>
      <c r="F105" s="36" t="s">
        <v>544</v>
      </c>
      <c r="G105" s="36" t="s">
        <v>56</v>
      </c>
      <c r="H105" s="36" t="s">
        <v>80</v>
      </c>
      <c r="I105" s="36" t="s">
        <v>23</v>
      </c>
      <c r="J105" s="36" t="s">
        <v>545</v>
      </c>
      <c r="K105" s="36" t="s">
        <v>58</v>
      </c>
      <c r="L105" s="37">
        <v>46073</v>
      </c>
      <c r="M105" s="36"/>
      <c r="N105" s="36" t="s">
        <v>78</v>
      </c>
      <c r="O105" s="36" t="s">
        <v>78</v>
      </c>
      <c r="P105" s="36" t="s">
        <v>82</v>
      </c>
      <c r="Q105" s="36"/>
      <c r="R105" s="36" t="s">
        <v>78</v>
      </c>
      <c r="S105" s="36" t="s">
        <v>82</v>
      </c>
      <c r="T105" s="52">
        <v>72000</v>
      </c>
      <c r="U105" s="36" t="s">
        <v>98</v>
      </c>
      <c r="V105" s="36">
        <v>5</v>
      </c>
    </row>
    <row r="106" spans="1:22" ht="10" customHeight="1" x14ac:dyDescent="0.25">
      <c r="A106" s="36">
        <v>105</v>
      </c>
      <c r="B106" s="51">
        <v>2026</v>
      </c>
      <c r="C106" s="117" t="s">
        <v>76</v>
      </c>
      <c r="D106" s="36" t="s">
        <v>83</v>
      </c>
      <c r="E106" s="36" t="s">
        <v>941</v>
      </c>
      <c r="F106" s="38" t="s">
        <v>942</v>
      </c>
      <c r="G106" s="36" t="s">
        <v>943</v>
      </c>
      <c r="H106" s="36" t="s">
        <v>22</v>
      </c>
      <c r="I106" s="36" t="s">
        <v>23</v>
      </c>
      <c r="J106" s="36" t="s">
        <v>24</v>
      </c>
      <c r="K106" s="36" t="s">
        <v>85</v>
      </c>
      <c r="L106" s="37">
        <v>46071</v>
      </c>
      <c r="M106" s="36" t="s">
        <v>47</v>
      </c>
      <c r="N106" s="36" t="s">
        <v>46</v>
      </c>
      <c r="O106" s="36" t="s">
        <v>65</v>
      </c>
      <c r="P106" s="36"/>
      <c r="Q106" s="36" t="s">
        <v>944</v>
      </c>
      <c r="R106" s="36" t="s">
        <v>46</v>
      </c>
      <c r="S106" s="36" t="s">
        <v>41</v>
      </c>
      <c r="T106" s="52"/>
      <c r="U106" s="36" t="s">
        <v>49</v>
      </c>
      <c r="V106" s="36">
        <v>6</v>
      </c>
    </row>
    <row r="107" spans="1:22" ht="10" customHeight="1" x14ac:dyDescent="0.25">
      <c r="A107" s="36">
        <v>106</v>
      </c>
      <c r="B107" s="51">
        <v>2026</v>
      </c>
      <c r="C107" s="117" t="s">
        <v>76</v>
      </c>
      <c r="D107" s="36" t="s">
        <v>55</v>
      </c>
      <c r="E107" s="36" t="s">
        <v>546</v>
      </c>
      <c r="F107" s="36" t="s">
        <v>547</v>
      </c>
      <c r="G107" s="36" t="s">
        <v>34</v>
      </c>
      <c r="H107" s="36" t="s">
        <v>80</v>
      </c>
      <c r="I107" s="36" t="s">
        <v>23</v>
      </c>
      <c r="J107" s="36" t="s">
        <v>106</v>
      </c>
      <c r="K107" s="36" t="s">
        <v>58</v>
      </c>
      <c r="L107" s="37">
        <v>46066</v>
      </c>
      <c r="M107" s="36" t="s">
        <v>523</v>
      </c>
      <c r="N107" s="36" t="s">
        <v>78</v>
      </c>
      <c r="O107" s="36" t="s">
        <v>506</v>
      </c>
      <c r="P107" s="36"/>
      <c r="Q107" s="36"/>
      <c r="R107" s="36" t="s">
        <v>523</v>
      </c>
      <c r="S107" s="36" t="s">
        <v>78</v>
      </c>
      <c r="T107" s="52">
        <v>109867.44</v>
      </c>
      <c r="U107" s="36" t="s">
        <v>98</v>
      </c>
      <c r="V107" s="36">
        <v>5</v>
      </c>
    </row>
    <row r="108" spans="1:22" ht="10" customHeight="1" x14ac:dyDescent="0.25">
      <c r="A108" s="36">
        <v>107</v>
      </c>
      <c r="B108" s="51">
        <v>2026</v>
      </c>
      <c r="C108" s="117" t="s">
        <v>76</v>
      </c>
      <c r="D108" s="36" t="s">
        <v>55</v>
      </c>
      <c r="E108" s="36" t="s">
        <v>507</v>
      </c>
      <c r="F108" s="38" t="s">
        <v>548</v>
      </c>
      <c r="G108" s="36" t="s">
        <v>56</v>
      </c>
      <c r="H108" s="36" t="s">
        <v>22</v>
      </c>
      <c r="I108" s="36" t="s">
        <v>23</v>
      </c>
      <c r="J108" s="36" t="s">
        <v>24</v>
      </c>
      <c r="K108" s="36" t="s">
        <v>77</v>
      </c>
      <c r="L108" s="37">
        <v>46073</v>
      </c>
      <c r="M108" s="36" t="s">
        <v>53</v>
      </c>
      <c r="N108" s="36" t="s">
        <v>32</v>
      </c>
      <c r="O108" s="36" t="s">
        <v>53</v>
      </c>
      <c r="P108" s="36"/>
      <c r="Q108" s="36"/>
      <c r="R108" s="36" t="s">
        <v>53</v>
      </c>
      <c r="S108" s="36" t="s">
        <v>113</v>
      </c>
      <c r="T108" s="52">
        <v>138591.47</v>
      </c>
      <c r="U108" s="36" t="s">
        <v>49</v>
      </c>
      <c r="V108" s="36">
        <v>4</v>
      </c>
    </row>
    <row r="109" spans="1:22" ht="10" customHeight="1" x14ac:dyDescent="0.25">
      <c r="A109" s="38">
        <v>108</v>
      </c>
      <c r="B109" s="51">
        <v>2026</v>
      </c>
      <c r="C109" s="117" t="s">
        <v>76</v>
      </c>
      <c r="D109" s="38" t="s">
        <v>63</v>
      </c>
      <c r="E109" s="38" t="s">
        <v>111</v>
      </c>
      <c r="F109" s="38" t="s">
        <v>549</v>
      </c>
      <c r="G109" s="38" t="s">
        <v>39</v>
      </c>
      <c r="H109" s="38" t="s">
        <v>526</v>
      </c>
      <c r="I109" s="38" t="s">
        <v>23</v>
      </c>
      <c r="J109" s="38" t="s">
        <v>106</v>
      </c>
      <c r="K109" s="38" t="s">
        <v>58</v>
      </c>
      <c r="L109" s="39">
        <v>46061</v>
      </c>
      <c r="M109" s="38" t="s">
        <v>78</v>
      </c>
      <c r="N109" s="38" t="s">
        <v>78</v>
      </c>
      <c r="O109" s="38" t="s">
        <v>43</v>
      </c>
      <c r="P109" s="38"/>
      <c r="Q109" s="38"/>
      <c r="R109" s="38" t="s">
        <v>78</v>
      </c>
      <c r="S109" s="38" t="s">
        <v>43</v>
      </c>
      <c r="T109" s="55">
        <v>10000</v>
      </c>
      <c r="U109" s="38" t="s">
        <v>98</v>
      </c>
      <c r="V109" s="38">
        <v>12</v>
      </c>
    </row>
    <row r="110" spans="1:22" ht="10" customHeight="1" x14ac:dyDescent="0.25">
      <c r="A110" s="36">
        <v>109</v>
      </c>
      <c r="B110" s="51">
        <v>2026</v>
      </c>
      <c r="C110" s="117" t="s">
        <v>76</v>
      </c>
      <c r="D110" s="36" t="s">
        <v>55</v>
      </c>
      <c r="E110" s="36" t="s">
        <v>550</v>
      </c>
      <c r="F110" s="38" t="s">
        <v>551</v>
      </c>
      <c r="G110" s="36" t="s">
        <v>34</v>
      </c>
      <c r="H110" s="36" t="s">
        <v>80</v>
      </c>
      <c r="I110" s="36" t="s">
        <v>23</v>
      </c>
      <c r="J110" s="36" t="s">
        <v>24</v>
      </c>
      <c r="K110" s="36" t="s">
        <v>58</v>
      </c>
      <c r="L110" s="37"/>
      <c r="M110" s="36"/>
      <c r="N110" s="36"/>
      <c r="O110" s="36" t="s">
        <v>36</v>
      </c>
      <c r="P110" s="36"/>
      <c r="Q110" s="36"/>
      <c r="R110" s="36" t="s">
        <v>43</v>
      </c>
      <c r="S110" s="36" t="s">
        <v>43</v>
      </c>
      <c r="T110" s="52"/>
      <c r="U110" s="36" t="s">
        <v>95</v>
      </c>
      <c r="V110" s="36"/>
    </row>
    <row r="111" spans="1:22" ht="10" customHeight="1" x14ac:dyDescent="0.25">
      <c r="A111" s="36">
        <v>110</v>
      </c>
      <c r="B111" s="51">
        <v>2026</v>
      </c>
      <c r="C111" s="117" t="s">
        <v>76</v>
      </c>
      <c r="D111" s="36" t="s">
        <v>83</v>
      </c>
      <c r="E111" s="36" t="s">
        <v>552</v>
      </c>
      <c r="F111" s="38" t="s">
        <v>553</v>
      </c>
      <c r="G111" s="36" t="s">
        <v>79</v>
      </c>
      <c r="H111" s="36" t="s">
        <v>44</v>
      </c>
      <c r="I111" s="36" t="s">
        <v>23</v>
      </c>
      <c r="J111" s="36" t="s">
        <v>554</v>
      </c>
      <c r="K111" s="36"/>
      <c r="L111" s="37"/>
      <c r="M111" s="36"/>
      <c r="N111" s="36" t="s">
        <v>36</v>
      </c>
      <c r="O111" s="36"/>
      <c r="P111" s="36"/>
      <c r="Q111" s="38" t="s">
        <v>555</v>
      </c>
      <c r="R111" s="36" t="s">
        <v>36</v>
      </c>
      <c r="S111" s="36" t="s">
        <v>43</v>
      </c>
      <c r="T111" s="52">
        <v>249999</v>
      </c>
      <c r="U111" s="36" t="s">
        <v>49</v>
      </c>
      <c r="V111" s="36"/>
    </row>
    <row r="112" spans="1:22" ht="10" customHeight="1" x14ac:dyDescent="0.25">
      <c r="A112" s="36">
        <v>111</v>
      </c>
      <c r="B112" s="51">
        <v>2026</v>
      </c>
      <c r="C112" s="117" t="s">
        <v>76</v>
      </c>
      <c r="D112" s="36" t="s">
        <v>83</v>
      </c>
      <c r="E112" s="36" t="s">
        <v>556</v>
      </c>
      <c r="F112" s="40" t="s">
        <v>557</v>
      </c>
      <c r="G112" s="36" t="s">
        <v>50</v>
      </c>
      <c r="H112" s="36" t="s">
        <v>80</v>
      </c>
      <c r="I112" s="36" t="s">
        <v>23</v>
      </c>
      <c r="J112" s="36" t="s">
        <v>558</v>
      </c>
      <c r="K112" s="36" t="s">
        <v>77</v>
      </c>
      <c r="L112" s="37">
        <v>46058</v>
      </c>
      <c r="M112" s="36" t="s">
        <v>46</v>
      </c>
      <c r="N112" s="36" t="s">
        <v>52</v>
      </c>
      <c r="O112" s="36" t="s">
        <v>65</v>
      </c>
      <c r="P112" s="36"/>
      <c r="Q112" s="36" t="s">
        <v>559</v>
      </c>
      <c r="R112" s="36" t="s">
        <v>47</v>
      </c>
      <c r="S112" s="36" t="s">
        <v>52</v>
      </c>
      <c r="T112" s="52">
        <v>50015.4</v>
      </c>
      <c r="U112" s="36" t="s">
        <v>49</v>
      </c>
      <c r="V112" s="36">
        <v>4</v>
      </c>
    </row>
    <row r="113" spans="1:22" ht="10" customHeight="1" x14ac:dyDescent="0.25">
      <c r="A113" s="36">
        <v>112</v>
      </c>
      <c r="B113" s="51">
        <v>2026</v>
      </c>
      <c r="C113" s="117" t="s">
        <v>76</v>
      </c>
      <c r="D113" s="36" t="s">
        <v>55</v>
      </c>
      <c r="E113" s="36" t="s">
        <v>543</v>
      </c>
      <c r="F113" s="41" t="s">
        <v>560</v>
      </c>
      <c r="G113" s="36" t="s">
        <v>56</v>
      </c>
      <c r="H113" s="36" t="s">
        <v>51</v>
      </c>
      <c r="I113" s="36" t="s">
        <v>23</v>
      </c>
      <c r="J113" s="36" t="s">
        <v>561</v>
      </c>
      <c r="K113" s="36" t="s">
        <v>25</v>
      </c>
      <c r="L113" s="37">
        <v>46062</v>
      </c>
      <c r="M113" s="36"/>
      <c r="N113" s="36" t="s">
        <v>82</v>
      </c>
      <c r="O113" s="36" t="s">
        <v>82</v>
      </c>
      <c r="P113" s="36"/>
      <c r="Q113" s="36"/>
      <c r="R113" s="36" t="s">
        <v>82</v>
      </c>
      <c r="S113" s="36" t="s">
        <v>82</v>
      </c>
      <c r="T113" s="52">
        <v>48364.13</v>
      </c>
      <c r="U113" s="36" t="s">
        <v>49</v>
      </c>
      <c r="V113" s="36">
        <v>18</v>
      </c>
    </row>
    <row r="114" spans="1:22" ht="10" customHeight="1" x14ac:dyDescent="0.25">
      <c r="A114" s="36">
        <v>113</v>
      </c>
      <c r="B114" s="51">
        <v>2026</v>
      </c>
      <c r="C114" s="117" t="s">
        <v>76</v>
      </c>
      <c r="D114" s="36" t="s">
        <v>55</v>
      </c>
      <c r="E114" s="36" t="s">
        <v>562</v>
      </c>
      <c r="F114" s="41" t="s">
        <v>563</v>
      </c>
      <c r="G114" s="36" t="s">
        <v>50</v>
      </c>
      <c r="H114" s="36" t="s">
        <v>40</v>
      </c>
      <c r="I114" s="36" t="s">
        <v>23</v>
      </c>
      <c r="J114" s="36" t="s">
        <v>564</v>
      </c>
      <c r="K114" s="36" t="s">
        <v>25</v>
      </c>
      <c r="L114" s="37">
        <v>46069</v>
      </c>
      <c r="M114" s="36" t="s">
        <v>60</v>
      </c>
      <c r="N114" s="36" t="s">
        <v>65</v>
      </c>
      <c r="O114" s="36" t="s">
        <v>61</v>
      </c>
      <c r="P114" s="36"/>
      <c r="Q114" s="36" t="s">
        <v>121</v>
      </c>
      <c r="R114" s="36" t="s">
        <v>60</v>
      </c>
      <c r="S114" s="36" t="s">
        <v>52</v>
      </c>
      <c r="T114" s="52">
        <v>168646.11</v>
      </c>
      <c r="U114" s="36" t="s">
        <v>70</v>
      </c>
      <c r="V114" s="36">
        <v>12</v>
      </c>
    </row>
    <row r="115" spans="1:22" ht="10" customHeight="1" x14ac:dyDescent="0.25">
      <c r="A115" s="36">
        <v>114</v>
      </c>
      <c r="B115" s="51">
        <v>2026</v>
      </c>
      <c r="C115" s="117" t="s">
        <v>76</v>
      </c>
      <c r="D115" s="36" t="s">
        <v>30</v>
      </c>
      <c r="E115" s="36" t="s">
        <v>565</v>
      </c>
      <c r="F115" s="41" t="s">
        <v>566</v>
      </c>
      <c r="G115" s="36" t="s">
        <v>79</v>
      </c>
      <c r="H115" s="36" t="s">
        <v>567</v>
      </c>
      <c r="I115" s="36" t="s">
        <v>104</v>
      </c>
      <c r="J115" s="36" t="s">
        <v>57</v>
      </c>
      <c r="K115" s="36" t="s">
        <v>58</v>
      </c>
      <c r="L115" s="37">
        <v>46077</v>
      </c>
      <c r="M115" s="36" t="s">
        <v>538</v>
      </c>
      <c r="N115" s="36" t="s">
        <v>48</v>
      </c>
      <c r="O115" s="36"/>
      <c r="P115" s="36" t="s">
        <v>41</v>
      </c>
      <c r="Q115" s="36" t="s">
        <v>568</v>
      </c>
      <c r="R115" s="36" t="s">
        <v>538</v>
      </c>
      <c r="S115" s="36" t="s">
        <v>41</v>
      </c>
      <c r="T115" s="52">
        <v>26354</v>
      </c>
      <c r="U115" s="36" t="s">
        <v>98</v>
      </c>
      <c r="V115" s="36">
        <v>2</v>
      </c>
    </row>
    <row r="116" spans="1:22" ht="10" customHeight="1" x14ac:dyDescent="0.25">
      <c r="A116" s="36">
        <v>115</v>
      </c>
      <c r="B116" s="51">
        <v>2026</v>
      </c>
      <c r="C116" s="117" t="s">
        <v>76</v>
      </c>
      <c r="D116" s="36" t="s">
        <v>30</v>
      </c>
      <c r="E116" s="36" t="s">
        <v>569</v>
      </c>
      <c r="F116" s="41" t="s">
        <v>570</v>
      </c>
      <c r="G116" s="36" t="s">
        <v>50</v>
      </c>
      <c r="H116" s="36" t="s">
        <v>40</v>
      </c>
      <c r="I116" s="36" t="s">
        <v>23</v>
      </c>
      <c r="J116" s="36" t="s">
        <v>24</v>
      </c>
      <c r="K116" s="36" t="s">
        <v>25</v>
      </c>
      <c r="L116" s="37">
        <v>46071</v>
      </c>
      <c r="M116" s="36" t="s">
        <v>46</v>
      </c>
      <c r="N116" s="36" t="s">
        <v>53</v>
      </c>
      <c r="O116" s="36" t="s">
        <v>60</v>
      </c>
      <c r="P116" s="36"/>
      <c r="Q116" s="36"/>
      <c r="R116" s="36" t="s">
        <v>61</v>
      </c>
      <c r="S116" s="36" t="s">
        <v>54</v>
      </c>
      <c r="T116" s="52">
        <v>76786</v>
      </c>
      <c r="U116" s="36" t="s">
        <v>49</v>
      </c>
      <c r="V116" s="36">
        <v>6</v>
      </c>
    </row>
    <row r="117" spans="1:22" ht="10" customHeight="1" x14ac:dyDescent="0.25">
      <c r="A117" s="36">
        <v>116</v>
      </c>
      <c r="B117" s="51">
        <v>2026</v>
      </c>
      <c r="C117" s="117" t="s">
        <v>76</v>
      </c>
      <c r="D117" s="36" t="s">
        <v>83</v>
      </c>
      <c r="E117" s="36" t="s">
        <v>571</v>
      </c>
      <c r="F117" s="40" t="s">
        <v>572</v>
      </c>
      <c r="G117" s="36" t="s">
        <v>74</v>
      </c>
      <c r="H117" s="36" t="s">
        <v>526</v>
      </c>
      <c r="I117" s="36" t="s">
        <v>23</v>
      </c>
      <c r="J117" s="36" t="s">
        <v>573</v>
      </c>
      <c r="K117" s="36" t="s">
        <v>58</v>
      </c>
      <c r="L117" s="37">
        <v>46073</v>
      </c>
      <c r="M117" s="36" t="s">
        <v>538</v>
      </c>
      <c r="N117" s="36" t="s">
        <v>48</v>
      </c>
      <c r="O117" s="36" t="s">
        <v>109</v>
      </c>
      <c r="P117" s="36"/>
      <c r="Q117" s="36" t="s">
        <v>574</v>
      </c>
      <c r="R117" s="36" t="s">
        <v>47</v>
      </c>
      <c r="S117" s="36" t="s">
        <v>41</v>
      </c>
      <c r="T117" s="52">
        <v>194796</v>
      </c>
      <c r="U117" s="36" t="s">
        <v>49</v>
      </c>
      <c r="V117" s="36">
        <v>22</v>
      </c>
    </row>
    <row r="118" spans="1:22" ht="10" customHeight="1" x14ac:dyDescent="0.25">
      <c r="A118" s="36">
        <v>117</v>
      </c>
      <c r="B118" s="51">
        <v>2026</v>
      </c>
      <c r="C118" s="117" t="s">
        <v>76</v>
      </c>
      <c r="D118" s="36" t="s">
        <v>83</v>
      </c>
      <c r="E118" s="36" t="s">
        <v>520</v>
      </c>
      <c r="F118" s="56" t="s">
        <v>945</v>
      </c>
      <c r="G118" s="36" t="s">
        <v>56</v>
      </c>
      <c r="H118" s="36" t="s">
        <v>22</v>
      </c>
      <c r="I118" s="36" t="s">
        <v>62</v>
      </c>
      <c r="J118" s="36" t="s">
        <v>24</v>
      </c>
      <c r="K118" s="36" t="s">
        <v>25</v>
      </c>
      <c r="L118" s="37">
        <v>46081</v>
      </c>
      <c r="M118" s="36" t="s">
        <v>47</v>
      </c>
      <c r="N118" s="36" t="s">
        <v>36</v>
      </c>
      <c r="O118" s="36" t="s">
        <v>27</v>
      </c>
      <c r="P118" s="36"/>
      <c r="Q118" s="36"/>
      <c r="R118" s="36" t="s">
        <v>67</v>
      </c>
      <c r="S118" s="36" t="s">
        <v>89</v>
      </c>
      <c r="T118" s="52">
        <v>15000</v>
      </c>
      <c r="U118" s="36" t="s">
        <v>38</v>
      </c>
      <c r="V118" s="36"/>
    </row>
    <row r="119" spans="1:22" ht="10" customHeight="1" x14ac:dyDescent="0.25">
      <c r="A119" s="36">
        <v>118</v>
      </c>
      <c r="B119" s="51">
        <v>2026</v>
      </c>
      <c r="C119" s="117" t="s">
        <v>76</v>
      </c>
      <c r="D119" s="36" t="s">
        <v>30</v>
      </c>
      <c r="E119" s="36" t="s">
        <v>509</v>
      </c>
      <c r="F119" s="40" t="s">
        <v>575</v>
      </c>
      <c r="G119" s="36" t="s">
        <v>50</v>
      </c>
      <c r="H119" s="36" t="s">
        <v>84</v>
      </c>
      <c r="I119" s="36" t="s">
        <v>62</v>
      </c>
      <c r="J119" s="36" t="s">
        <v>68</v>
      </c>
      <c r="K119" s="36" t="s">
        <v>58</v>
      </c>
      <c r="L119" s="37">
        <v>46085</v>
      </c>
      <c r="M119" s="36" t="s">
        <v>506</v>
      </c>
      <c r="N119" s="36" t="s">
        <v>47</v>
      </c>
      <c r="O119" s="36" t="s">
        <v>61</v>
      </c>
      <c r="P119" s="36"/>
      <c r="Q119" s="36"/>
      <c r="R119" s="36" t="s">
        <v>67</v>
      </c>
      <c r="S119" s="36" t="s">
        <v>52</v>
      </c>
      <c r="T119" s="52">
        <v>38260.980000000003</v>
      </c>
      <c r="U119" s="36" t="s">
        <v>70</v>
      </c>
      <c r="V119" s="36">
        <v>4</v>
      </c>
    </row>
    <row r="120" spans="1:22" ht="10" customHeight="1" x14ac:dyDescent="0.25">
      <c r="A120" s="36">
        <v>119</v>
      </c>
      <c r="B120" s="51">
        <v>2026</v>
      </c>
      <c r="C120" s="117" t="s">
        <v>76</v>
      </c>
      <c r="D120" s="36" t="s">
        <v>517</v>
      </c>
      <c r="E120" s="38" t="s">
        <v>576</v>
      </c>
      <c r="F120" s="40" t="s">
        <v>577</v>
      </c>
      <c r="G120" s="36" t="s">
        <v>56</v>
      </c>
      <c r="H120" s="36" t="s">
        <v>44</v>
      </c>
      <c r="I120" s="36" t="s">
        <v>23</v>
      </c>
      <c r="J120" s="36" t="s">
        <v>57</v>
      </c>
      <c r="K120" s="36" t="s">
        <v>25</v>
      </c>
      <c r="L120" s="37">
        <v>46082</v>
      </c>
      <c r="M120" s="36" t="s">
        <v>47</v>
      </c>
      <c r="N120" s="36" t="s">
        <v>53</v>
      </c>
      <c r="O120" s="36"/>
      <c r="P120" s="36"/>
      <c r="Q120" s="36" t="s">
        <v>578</v>
      </c>
      <c r="R120" s="36" t="s">
        <v>538</v>
      </c>
      <c r="S120" s="36" t="s">
        <v>89</v>
      </c>
      <c r="T120" s="52">
        <v>227636.25</v>
      </c>
      <c r="U120" s="36" t="s">
        <v>95</v>
      </c>
      <c r="V120" s="36">
        <v>9</v>
      </c>
    </row>
    <row r="121" spans="1:22" ht="10" customHeight="1" x14ac:dyDescent="0.25">
      <c r="A121" s="36">
        <v>120</v>
      </c>
      <c r="B121" s="51">
        <v>2026</v>
      </c>
      <c r="C121" s="117" t="s">
        <v>76</v>
      </c>
      <c r="D121" s="36" t="s">
        <v>83</v>
      </c>
      <c r="E121" s="36" t="s">
        <v>103</v>
      </c>
      <c r="F121" s="53" t="s">
        <v>579</v>
      </c>
      <c r="G121" s="36" t="s">
        <v>74</v>
      </c>
      <c r="H121" s="36" t="s">
        <v>44</v>
      </c>
      <c r="I121" s="36" t="s">
        <v>104</v>
      </c>
      <c r="J121" s="36" t="s">
        <v>24</v>
      </c>
      <c r="K121" s="36" t="s">
        <v>25</v>
      </c>
      <c r="L121" s="37">
        <v>46087</v>
      </c>
      <c r="M121" s="36" t="s">
        <v>523</v>
      </c>
      <c r="N121" s="36" t="s">
        <v>60</v>
      </c>
      <c r="O121" s="36" t="s">
        <v>48</v>
      </c>
      <c r="P121" s="36"/>
      <c r="Q121" s="36" t="s">
        <v>580</v>
      </c>
      <c r="R121" s="36" t="s">
        <v>60</v>
      </c>
      <c r="S121" s="36" t="s">
        <v>28</v>
      </c>
      <c r="T121" s="52">
        <v>29278.92</v>
      </c>
      <c r="U121" s="36" t="s">
        <v>49</v>
      </c>
      <c r="V121" s="36">
        <v>3</v>
      </c>
    </row>
    <row r="122" spans="1:22" ht="10" customHeight="1" x14ac:dyDescent="0.25">
      <c r="A122" s="36">
        <v>121</v>
      </c>
      <c r="B122" s="51">
        <v>2026</v>
      </c>
      <c r="C122" s="117" t="s">
        <v>76</v>
      </c>
      <c r="D122" s="36" t="s">
        <v>30</v>
      </c>
      <c r="E122" s="36" t="s">
        <v>581</v>
      </c>
      <c r="F122" s="41" t="s">
        <v>582</v>
      </c>
      <c r="G122" s="36" t="s">
        <v>56</v>
      </c>
      <c r="H122" s="36" t="s">
        <v>22</v>
      </c>
      <c r="I122" s="36" t="s">
        <v>23</v>
      </c>
      <c r="J122" s="36" t="s">
        <v>31</v>
      </c>
      <c r="K122" s="36" t="s">
        <v>58</v>
      </c>
      <c r="L122" s="37">
        <v>46080</v>
      </c>
      <c r="M122" s="36" t="s">
        <v>46</v>
      </c>
      <c r="N122" s="36" t="s">
        <v>52</v>
      </c>
      <c r="O122" s="36" t="s">
        <v>52</v>
      </c>
      <c r="P122" s="36"/>
      <c r="Q122" s="36"/>
      <c r="R122" s="36" t="s">
        <v>54</v>
      </c>
      <c r="S122" s="36" t="s">
        <v>54</v>
      </c>
      <c r="T122" s="52">
        <v>139595</v>
      </c>
      <c r="U122" s="36" t="s">
        <v>70</v>
      </c>
      <c r="V122" s="36"/>
    </row>
    <row r="123" spans="1:22" ht="10" customHeight="1" x14ac:dyDescent="0.25">
      <c r="A123" s="36">
        <v>122</v>
      </c>
      <c r="B123" s="51">
        <v>2026</v>
      </c>
      <c r="C123" s="117" t="s">
        <v>76</v>
      </c>
      <c r="D123" s="36" t="s">
        <v>55</v>
      </c>
      <c r="E123" s="36" t="s">
        <v>562</v>
      </c>
      <c r="F123" s="38" t="s">
        <v>583</v>
      </c>
      <c r="G123" s="36" t="s">
        <v>79</v>
      </c>
      <c r="H123" s="36" t="s">
        <v>80</v>
      </c>
      <c r="I123" s="36" t="s">
        <v>23</v>
      </c>
      <c r="J123" s="36" t="s">
        <v>24</v>
      </c>
      <c r="K123" s="36" t="s">
        <v>25</v>
      </c>
      <c r="L123" s="37">
        <v>46085</v>
      </c>
      <c r="M123" s="36" t="s">
        <v>538</v>
      </c>
      <c r="N123" s="36" t="s">
        <v>109</v>
      </c>
      <c r="O123" s="36" t="s">
        <v>48</v>
      </c>
      <c r="P123" s="36" t="s">
        <v>43</v>
      </c>
      <c r="Q123" s="36" t="s">
        <v>584</v>
      </c>
      <c r="R123" s="36" t="s">
        <v>109</v>
      </c>
      <c r="S123" s="36" t="s">
        <v>41</v>
      </c>
      <c r="T123" s="52"/>
      <c r="U123" s="36" t="s">
        <v>49</v>
      </c>
      <c r="V123" s="36">
        <v>12</v>
      </c>
    </row>
    <row r="124" spans="1:22" ht="10" customHeight="1" x14ac:dyDescent="0.25">
      <c r="A124" s="36">
        <v>123</v>
      </c>
      <c r="B124" s="51">
        <v>2026</v>
      </c>
      <c r="C124" s="117" t="s">
        <v>76</v>
      </c>
      <c r="D124" s="36" t="s">
        <v>55</v>
      </c>
      <c r="E124" s="36" t="s">
        <v>73</v>
      </c>
      <c r="F124" s="36" t="s">
        <v>585</v>
      </c>
      <c r="G124" s="36" t="s">
        <v>79</v>
      </c>
      <c r="H124" s="36" t="s">
        <v>40</v>
      </c>
      <c r="I124" s="36" t="s">
        <v>62</v>
      </c>
      <c r="J124" s="36" t="s">
        <v>586</v>
      </c>
      <c r="K124" s="36" t="s">
        <v>77</v>
      </c>
      <c r="L124" s="37">
        <v>46093</v>
      </c>
      <c r="M124" s="36" t="s">
        <v>47</v>
      </c>
      <c r="N124" s="36" t="s">
        <v>48</v>
      </c>
      <c r="O124" s="36" t="s">
        <v>538</v>
      </c>
      <c r="P124" s="36"/>
      <c r="Q124" s="36" t="s">
        <v>587</v>
      </c>
      <c r="R124" s="36" t="s">
        <v>538</v>
      </c>
      <c r="S124" s="36" t="s">
        <v>52</v>
      </c>
      <c r="T124" s="52"/>
      <c r="U124" s="36" t="s">
        <v>49</v>
      </c>
      <c r="V124" s="36">
        <v>9</v>
      </c>
    </row>
    <row r="125" spans="1:22" ht="10" customHeight="1" x14ac:dyDescent="0.25">
      <c r="A125" s="36">
        <v>124</v>
      </c>
      <c r="B125" s="51">
        <v>2026</v>
      </c>
      <c r="C125" s="117" t="s">
        <v>76</v>
      </c>
      <c r="D125" s="36" t="s">
        <v>112</v>
      </c>
      <c r="E125" s="36" t="s">
        <v>588</v>
      </c>
      <c r="F125" s="38" t="s">
        <v>589</v>
      </c>
      <c r="G125" s="36" t="s">
        <v>590</v>
      </c>
      <c r="H125" s="36" t="s">
        <v>44</v>
      </c>
      <c r="I125" s="36" t="s">
        <v>23</v>
      </c>
      <c r="J125" s="36" t="s">
        <v>91</v>
      </c>
      <c r="K125" s="36" t="s">
        <v>85</v>
      </c>
      <c r="L125" s="37">
        <v>46087</v>
      </c>
      <c r="M125" s="36" t="s">
        <v>41</v>
      </c>
      <c r="N125" s="36"/>
      <c r="O125" s="36"/>
      <c r="P125" s="36"/>
      <c r="Q125" s="36" t="s">
        <v>591</v>
      </c>
      <c r="R125" s="36" t="s">
        <v>90</v>
      </c>
      <c r="S125" s="36"/>
      <c r="T125" s="52"/>
      <c r="U125" s="36"/>
      <c r="V125" s="36"/>
    </row>
    <row r="126" spans="1:22" ht="10" customHeight="1" x14ac:dyDescent="0.25">
      <c r="A126" s="36">
        <v>125</v>
      </c>
      <c r="B126" s="51">
        <v>2026</v>
      </c>
      <c r="C126" s="117" t="s">
        <v>76</v>
      </c>
      <c r="D126" s="36" t="s">
        <v>83</v>
      </c>
      <c r="E126" s="36" t="s">
        <v>592</v>
      </c>
      <c r="F126" s="36" t="s">
        <v>593</v>
      </c>
      <c r="G126" s="36" t="s">
        <v>39</v>
      </c>
      <c r="H126" s="36" t="s">
        <v>526</v>
      </c>
      <c r="I126" s="36" t="s">
        <v>23</v>
      </c>
      <c r="J126" s="36" t="s">
        <v>24</v>
      </c>
      <c r="K126" s="36" t="s">
        <v>25</v>
      </c>
      <c r="L126" s="37">
        <v>46112</v>
      </c>
      <c r="M126" s="36" t="s">
        <v>109</v>
      </c>
      <c r="N126" s="36" t="s">
        <v>60</v>
      </c>
      <c r="O126" s="36" t="s">
        <v>59</v>
      </c>
      <c r="P126" s="36"/>
      <c r="Q126" s="36"/>
      <c r="R126" s="36" t="s">
        <v>60</v>
      </c>
      <c r="S126" s="36" t="s">
        <v>54</v>
      </c>
      <c r="T126" s="52">
        <v>81140.83</v>
      </c>
      <c r="U126" s="36" t="s">
        <v>946</v>
      </c>
      <c r="V126" s="36">
        <v>2</v>
      </c>
    </row>
    <row r="127" spans="1:22" ht="10" customHeight="1" x14ac:dyDescent="0.25">
      <c r="A127" s="36">
        <v>126</v>
      </c>
      <c r="B127" s="51">
        <v>2026</v>
      </c>
      <c r="C127" s="117" t="s">
        <v>76</v>
      </c>
      <c r="D127" s="36" t="s">
        <v>55</v>
      </c>
      <c r="E127" s="36" t="s">
        <v>122</v>
      </c>
      <c r="F127" s="36" t="s">
        <v>594</v>
      </c>
      <c r="G127" s="36" t="s">
        <v>34</v>
      </c>
      <c r="H127" s="36" t="s">
        <v>526</v>
      </c>
      <c r="I127" s="36" t="s">
        <v>23</v>
      </c>
      <c r="J127" s="36" t="s">
        <v>595</v>
      </c>
      <c r="K127" s="36" t="s">
        <v>25</v>
      </c>
      <c r="L127" s="37">
        <v>46103</v>
      </c>
      <c r="M127" s="36"/>
      <c r="N127" s="36" t="s">
        <v>48</v>
      </c>
      <c r="O127" s="36" t="s">
        <v>53</v>
      </c>
      <c r="P127" s="36"/>
      <c r="Q127" s="36"/>
      <c r="R127" s="36" t="s">
        <v>53</v>
      </c>
      <c r="S127" s="36" t="s">
        <v>28</v>
      </c>
      <c r="T127" s="52"/>
      <c r="U127" s="36" t="s">
        <v>95</v>
      </c>
      <c r="V127" s="36">
        <v>3</v>
      </c>
    </row>
    <row r="128" spans="1:22" ht="10" customHeight="1" x14ac:dyDescent="0.25">
      <c r="A128" s="36">
        <v>127</v>
      </c>
      <c r="B128" s="51">
        <v>2026</v>
      </c>
      <c r="C128" s="117" t="s">
        <v>76</v>
      </c>
      <c r="D128" s="36" t="s">
        <v>55</v>
      </c>
      <c r="E128" s="36" t="s">
        <v>99</v>
      </c>
      <c r="F128" s="36" t="s">
        <v>596</v>
      </c>
      <c r="G128" s="36" t="s">
        <v>34</v>
      </c>
      <c r="H128" s="36" t="s">
        <v>40</v>
      </c>
      <c r="I128" s="36" t="s">
        <v>23</v>
      </c>
      <c r="J128" s="36" t="s">
        <v>71</v>
      </c>
      <c r="K128" s="36" t="s">
        <v>85</v>
      </c>
      <c r="L128" s="37">
        <v>46098</v>
      </c>
      <c r="M128" s="36" t="s">
        <v>36</v>
      </c>
      <c r="N128" s="36"/>
      <c r="O128" s="36"/>
      <c r="P128" s="36"/>
      <c r="Q128" s="36"/>
      <c r="R128" s="36"/>
      <c r="S128" s="36" t="s">
        <v>28</v>
      </c>
      <c r="T128" s="52"/>
      <c r="U128" s="36"/>
      <c r="V128" s="36"/>
    </row>
    <row r="129" spans="1:22" ht="10" customHeight="1" x14ac:dyDescent="0.25">
      <c r="A129" s="139">
        <v>128</v>
      </c>
      <c r="B129" s="51">
        <v>2026</v>
      </c>
      <c r="C129" s="117" t="s">
        <v>76</v>
      </c>
      <c r="D129" s="36" t="s">
        <v>55</v>
      </c>
      <c r="E129" s="36" t="s">
        <v>623</v>
      </c>
      <c r="F129" s="36" t="s">
        <v>597</v>
      </c>
      <c r="G129" s="36" t="s">
        <v>508</v>
      </c>
      <c r="H129" s="36" t="s">
        <v>84</v>
      </c>
      <c r="I129" s="36" t="s">
        <v>23</v>
      </c>
      <c r="J129" s="36"/>
      <c r="K129" s="36" t="s">
        <v>85</v>
      </c>
      <c r="L129" s="37">
        <v>46097</v>
      </c>
      <c r="M129" s="36"/>
      <c r="N129" s="36" t="s">
        <v>61</v>
      </c>
      <c r="O129" s="36" t="s">
        <v>89</v>
      </c>
      <c r="P129" s="36"/>
      <c r="Q129" s="36" t="s">
        <v>598</v>
      </c>
      <c r="R129" s="36"/>
      <c r="S129" s="36"/>
      <c r="T129" s="52">
        <v>160008.07999999999</v>
      </c>
      <c r="U129" s="36" t="s">
        <v>49</v>
      </c>
      <c r="V129" s="36">
        <v>24</v>
      </c>
    </row>
    <row r="130" spans="1:22" ht="10" customHeight="1" x14ac:dyDescent="0.25">
      <c r="A130" s="138">
        <v>129</v>
      </c>
      <c r="B130" s="51">
        <v>2026</v>
      </c>
      <c r="C130" s="117" t="s">
        <v>76</v>
      </c>
      <c r="D130" s="36" t="s">
        <v>55</v>
      </c>
      <c r="E130" s="36" t="s">
        <v>543</v>
      </c>
      <c r="F130" s="36" t="s">
        <v>599</v>
      </c>
      <c r="G130" s="36" t="s">
        <v>56</v>
      </c>
      <c r="H130" s="36" t="s">
        <v>22</v>
      </c>
      <c r="I130" s="36" t="s">
        <v>23</v>
      </c>
      <c r="J130" s="36" t="s">
        <v>81</v>
      </c>
      <c r="K130" s="36" t="s">
        <v>58</v>
      </c>
      <c r="L130" s="37"/>
      <c r="M130" s="36"/>
      <c r="N130" s="36" t="s">
        <v>36</v>
      </c>
      <c r="O130" s="36" t="s">
        <v>89</v>
      </c>
      <c r="P130" s="36"/>
      <c r="Q130" s="36"/>
      <c r="R130" s="36" t="s">
        <v>89</v>
      </c>
      <c r="S130" s="36" t="s">
        <v>54</v>
      </c>
      <c r="T130" s="52">
        <v>80341.429999999993</v>
      </c>
      <c r="U130" s="36" t="s">
        <v>95</v>
      </c>
      <c r="V130" s="36">
        <v>12</v>
      </c>
    </row>
    <row r="131" spans="1:22" ht="10" customHeight="1" x14ac:dyDescent="0.25">
      <c r="A131" s="138">
        <v>130</v>
      </c>
      <c r="B131" s="51">
        <v>2026</v>
      </c>
      <c r="C131" s="117" t="s">
        <v>76</v>
      </c>
      <c r="D131" s="36" t="s">
        <v>83</v>
      </c>
      <c r="E131" s="36" t="s">
        <v>600</v>
      </c>
      <c r="F131" s="36" t="s">
        <v>601</v>
      </c>
      <c r="G131" s="36" t="s">
        <v>79</v>
      </c>
      <c r="H131" s="36" t="s">
        <v>80</v>
      </c>
      <c r="I131" s="36" t="s">
        <v>62</v>
      </c>
      <c r="J131" s="36" t="s">
        <v>68</v>
      </c>
      <c r="K131" s="36" t="s">
        <v>25</v>
      </c>
      <c r="L131" s="37">
        <v>46108</v>
      </c>
      <c r="M131" s="36" t="s">
        <v>67</v>
      </c>
      <c r="N131" s="36" t="s">
        <v>47</v>
      </c>
      <c r="O131" s="36" t="s">
        <v>61</v>
      </c>
      <c r="P131" s="36"/>
      <c r="Q131" s="36" t="s">
        <v>602</v>
      </c>
      <c r="R131" s="36" t="s">
        <v>67</v>
      </c>
      <c r="S131" s="36" t="s">
        <v>28</v>
      </c>
      <c r="T131" s="52">
        <v>118258</v>
      </c>
      <c r="U131" s="36" t="s">
        <v>70</v>
      </c>
      <c r="V131" s="36">
        <v>12</v>
      </c>
    </row>
    <row r="132" spans="1:22" ht="10" customHeight="1" x14ac:dyDescent="0.25">
      <c r="A132" s="138">
        <v>131</v>
      </c>
      <c r="B132" s="51">
        <v>2026</v>
      </c>
      <c r="C132" s="117" t="s">
        <v>76</v>
      </c>
      <c r="D132" s="38" t="s">
        <v>83</v>
      </c>
      <c r="E132" s="38" t="s">
        <v>603</v>
      </c>
      <c r="F132" s="38" t="s">
        <v>604</v>
      </c>
      <c r="G132" s="36" t="s">
        <v>39</v>
      </c>
      <c r="H132" s="36" t="s">
        <v>22</v>
      </c>
      <c r="I132" s="36" t="s">
        <v>23</v>
      </c>
      <c r="J132" s="36" t="s">
        <v>605</v>
      </c>
      <c r="K132" s="36" t="s">
        <v>25</v>
      </c>
      <c r="L132" s="37">
        <v>46112</v>
      </c>
      <c r="M132" s="36" t="s">
        <v>43</v>
      </c>
      <c r="N132" s="36" t="s">
        <v>43</v>
      </c>
      <c r="O132" s="36" t="s">
        <v>43</v>
      </c>
      <c r="P132" s="36"/>
      <c r="Q132" s="36"/>
      <c r="R132" s="36" t="s">
        <v>43</v>
      </c>
      <c r="S132" s="36" t="s">
        <v>54</v>
      </c>
      <c r="T132" s="52">
        <v>24603</v>
      </c>
      <c r="U132" s="36" t="s">
        <v>49</v>
      </c>
      <c r="V132" s="36">
        <v>3</v>
      </c>
    </row>
    <row r="133" spans="1:22" ht="10" customHeight="1" x14ac:dyDescent="0.25">
      <c r="A133" s="138">
        <v>132</v>
      </c>
      <c r="B133" s="51">
        <v>2026</v>
      </c>
      <c r="C133" s="117" t="s">
        <v>76</v>
      </c>
      <c r="D133" s="38" t="s">
        <v>19</v>
      </c>
      <c r="E133" s="38" t="s">
        <v>606</v>
      </c>
      <c r="F133" s="38" t="s">
        <v>607</v>
      </c>
      <c r="G133" s="36" t="s">
        <v>50</v>
      </c>
      <c r="H133" s="36" t="s">
        <v>40</v>
      </c>
      <c r="I133" s="36" t="s">
        <v>23</v>
      </c>
      <c r="J133" s="36" t="s">
        <v>31</v>
      </c>
      <c r="K133" s="36" t="s">
        <v>85</v>
      </c>
      <c r="L133" s="37">
        <v>46112</v>
      </c>
      <c r="M133" s="36" t="s">
        <v>506</v>
      </c>
      <c r="N133" s="36" t="s">
        <v>78</v>
      </c>
      <c r="O133" s="36" t="s">
        <v>61</v>
      </c>
      <c r="P133" s="36"/>
      <c r="Q133" s="36" t="s">
        <v>608</v>
      </c>
      <c r="R133" s="36" t="s">
        <v>48</v>
      </c>
      <c r="S133" s="36" t="s">
        <v>52</v>
      </c>
      <c r="T133" s="52">
        <v>2200000</v>
      </c>
      <c r="U133" s="36" t="s">
        <v>49</v>
      </c>
      <c r="V133" s="36">
        <v>36</v>
      </c>
    </row>
    <row r="134" spans="1:22" ht="10" customHeight="1" x14ac:dyDescent="0.25">
      <c r="A134" s="138">
        <v>133</v>
      </c>
      <c r="B134" s="51">
        <v>2026</v>
      </c>
      <c r="C134" s="117" t="s">
        <v>76</v>
      </c>
      <c r="D134" s="36" t="s">
        <v>55</v>
      </c>
      <c r="E134" s="36" t="s">
        <v>64</v>
      </c>
      <c r="F134" s="36" t="s">
        <v>609</v>
      </c>
      <c r="G134" s="36" t="s">
        <v>34</v>
      </c>
      <c r="H134" s="36" t="s">
        <v>567</v>
      </c>
      <c r="I134" s="36" t="s">
        <v>23</v>
      </c>
      <c r="J134" s="36" t="s">
        <v>610</v>
      </c>
      <c r="K134" s="36" t="s">
        <v>58</v>
      </c>
      <c r="L134" s="37">
        <v>46122</v>
      </c>
      <c r="M134" s="36" t="s">
        <v>53</v>
      </c>
      <c r="N134" s="36" t="s">
        <v>47</v>
      </c>
      <c r="O134" s="36" t="s">
        <v>46</v>
      </c>
      <c r="P134" s="36" t="s">
        <v>109</v>
      </c>
      <c r="Q134" s="36" t="s">
        <v>611</v>
      </c>
      <c r="R134" s="36" t="s">
        <v>53</v>
      </c>
      <c r="S134" s="36" t="s">
        <v>33</v>
      </c>
      <c r="T134" s="52">
        <v>89799.94</v>
      </c>
      <c r="U134" s="36" t="s">
        <v>49</v>
      </c>
      <c r="V134" s="36">
        <v>12</v>
      </c>
    </row>
    <row r="135" spans="1:22" ht="10" customHeight="1" x14ac:dyDescent="0.25">
      <c r="A135" s="138">
        <v>134</v>
      </c>
      <c r="B135" s="51">
        <v>2026</v>
      </c>
      <c r="C135" s="117" t="s">
        <v>87</v>
      </c>
      <c r="D135" s="36" t="s">
        <v>19</v>
      </c>
      <c r="E135" s="36" t="s">
        <v>20</v>
      </c>
      <c r="F135" s="36" t="s">
        <v>947</v>
      </c>
      <c r="G135" s="36" t="s">
        <v>612</v>
      </c>
      <c r="H135" s="36" t="s">
        <v>22</v>
      </c>
      <c r="I135" s="36" t="s">
        <v>23</v>
      </c>
      <c r="J135" s="36" t="s">
        <v>91</v>
      </c>
      <c r="K135" s="36" t="s">
        <v>58</v>
      </c>
      <c r="L135" s="37">
        <v>46190</v>
      </c>
      <c r="M135" s="36"/>
      <c r="N135" s="36" t="s">
        <v>90</v>
      </c>
      <c r="O135" s="36" t="s">
        <v>90</v>
      </c>
      <c r="P135" s="36" t="s">
        <v>621</v>
      </c>
      <c r="Q135" s="36" t="s">
        <v>591</v>
      </c>
      <c r="R135" s="36" t="s">
        <v>90</v>
      </c>
      <c r="S135" s="36" t="s">
        <v>41</v>
      </c>
      <c r="T135" s="52">
        <v>69000</v>
      </c>
      <c r="U135" s="36" t="s">
        <v>95</v>
      </c>
      <c r="V135" s="36">
        <v>3</v>
      </c>
    </row>
    <row r="136" spans="1:22" ht="10" customHeight="1" x14ac:dyDescent="0.25">
      <c r="A136" s="138">
        <v>135</v>
      </c>
      <c r="B136" s="51">
        <v>2026</v>
      </c>
      <c r="C136" s="117" t="s">
        <v>87</v>
      </c>
      <c r="D136" s="36" t="s">
        <v>112</v>
      </c>
      <c r="E136" s="36" t="s">
        <v>948</v>
      </c>
      <c r="F136" s="36" t="s">
        <v>949</v>
      </c>
      <c r="G136" s="36" t="s">
        <v>590</v>
      </c>
      <c r="H136" s="36" t="s">
        <v>641</v>
      </c>
      <c r="I136" s="36" t="s">
        <v>23</v>
      </c>
      <c r="J136" s="36" t="s">
        <v>45</v>
      </c>
      <c r="K136" s="36" t="s">
        <v>85</v>
      </c>
      <c r="L136" s="37">
        <v>46122</v>
      </c>
      <c r="M136" s="36" t="s">
        <v>46</v>
      </c>
      <c r="N136" s="36"/>
      <c r="O136" s="36" t="s">
        <v>950</v>
      </c>
      <c r="P136" s="36" t="s">
        <v>28</v>
      </c>
      <c r="Q136" s="36" t="s">
        <v>891</v>
      </c>
      <c r="R136" s="36" t="s">
        <v>46</v>
      </c>
      <c r="S136" s="36" t="s">
        <v>52</v>
      </c>
      <c r="T136" s="52"/>
      <c r="U136" s="36" t="s">
        <v>120</v>
      </c>
      <c r="V136" s="36">
        <v>6</v>
      </c>
    </row>
    <row r="137" spans="1:22" ht="10" customHeight="1" x14ac:dyDescent="0.25">
      <c r="A137" s="138">
        <v>136</v>
      </c>
      <c r="B137" s="51">
        <v>2026</v>
      </c>
      <c r="C137" s="117" t="s">
        <v>87</v>
      </c>
      <c r="D137" s="36" t="s">
        <v>19</v>
      </c>
      <c r="E137" s="36" t="s">
        <v>42</v>
      </c>
      <c r="F137" s="57" t="s">
        <v>613</v>
      </c>
      <c r="G137" s="36" t="s">
        <v>34</v>
      </c>
      <c r="H137" s="36" t="s">
        <v>44</v>
      </c>
      <c r="I137" s="36" t="s">
        <v>23</v>
      </c>
      <c r="J137" s="57" t="s">
        <v>24</v>
      </c>
      <c r="K137" s="36" t="s">
        <v>58</v>
      </c>
      <c r="L137" s="37">
        <v>46141</v>
      </c>
      <c r="M137" s="36"/>
      <c r="N137" s="36" t="s">
        <v>48</v>
      </c>
      <c r="O137" s="36" t="s">
        <v>53</v>
      </c>
      <c r="P137" s="36"/>
      <c r="Q137" s="36" t="s">
        <v>614</v>
      </c>
      <c r="R137" s="36" t="s">
        <v>53</v>
      </c>
      <c r="S137" s="36" t="s">
        <v>28</v>
      </c>
      <c r="T137" s="52"/>
      <c r="U137" s="36" t="s">
        <v>95</v>
      </c>
      <c r="V137" s="36"/>
    </row>
    <row r="138" spans="1:22" ht="10" customHeight="1" x14ac:dyDescent="0.25">
      <c r="A138" s="138">
        <v>137</v>
      </c>
      <c r="B138" s="51">
        <v>2026</v>
      </c>
      <c r="C138" s="117" t="s">
        <v>87</v>
      </c>
      <c r="D138" s="36" t="s">
        <v>83</v>
      </c>
      <c r="E138" s="36" t="s">
        <v>615</v>
      </c>
      <c r="F138" s="36" t="s">
        <v>616</v>
      </c>
      <c r="G138" s="36" t="s">
        <v>39</v>
      </c>
      <c r="H138" s="36" t="s">
        <v>526</v>
      </c>
      <c r="I138" s="36" t="s">
        <v>23</v>
      </c>
      <c r="J138" s="36" t="s">
        <v>617</v>
      </c>
      <c r="K138" s="36" t="s">
        <v>25</v>
      </c>
      <c r="L138" s="37">
        <v>46134</v>
      </c>
      <c r="M138" s="36" t="s">
        <v>46</v>
      </c>
      <c r="N138" s="36" t="s">
        <v>78</v>
      </c>
      <c r="O138" s="36" t="s">
        <v>506</v>
      </c>
      <c r="P138" s="36" t="s">
        <v>78</v>
      </c>
      <c r="Q138" s="36" t="s">
        <v>618</v>
      </c>
      <c r="R138" s="36" t="s">
        <v>523</v>
      </c>
      <c r="S138" s="36" t="s">
        <v>78</v>
      </c>
      <c r="T138" s="52"/>
      <c r="U138" s="36" t="s">
        <v>95</v>
      </c>
      <c r="V138" s="36"/>
    </row>
    <row r="139" spans="1:22" ht="10" customHeight="1" x14ac:dyDescent="0.25">
      <c r="A139" s="138">
        <v>138</v>
      </c>
      <c r="B139" s="51">
        <v>2026</v>
      </c>
      <c r="C139" s="117" t="s">
        <v>87</v>
      </c>
      <c r="D139" s="36" t="s">
        <v>55</v>
      </c>
      <c r="E139" s="36" t="s">
        <v>546</v>
      </c>
      <c r="F139" s="36" t="s">
        <v>619</v>
      </c>
      <c r="G139" s="36" t="s">
        <v>79</v>
      </c>
      <c r="H139" s="36" t="s">
        <v>84</v>
      </c>
      <c r="I139" s="36" t="s">
        <v>23</v>
      </c>
      <c r="J139" s="36" t="s">
        <v>620</v>
      </c>
      <c r="K139" s="36" t="s">
        <v>25</v>
      </c>
      <c r="L139" s="37">
        <v>46148</v>
      </c>
      <c r="M139" s="36" t="s">
        <v>621</v>
      </c>
      <c r="N139" s="36" t="s">
        <v>59</v>
      </c>
      <c r="O139" s="36" t="s">
        <v>47</v>
      </c>
      <c r="P139" s="36"/>
      <c r="Q139" s="36"/>
      <c r="R139" s="36" t="s">
        <v>67</v>
      </c>
      <c r="S139" s="36" t="s">
        <v>54</v>
      </c>
      <c r="T139" s="52">
        <v>1500000</v>
      </c>
      <c r="U139" s="36" t="s">
        <v>49</v>
      </c>
      <c r="V139" s="36">
        <v>24</v>
      </c>
    </row>
    <row r="140" spans="1:22" ht="10" customHeight="1" x14ac:dyDescent="0.25">
      <c r="A140" s="138">
        <v>139</v>
      </c>
      <c r="B140" s="51">
        <v>2026</v>
      </c>
      <c r="C140" s="117" t="s">
        <v>87</v>
      </c>
      <c r="D140" s="53" t="s">
        <v>83</v>
      </c>
      <c r="E140" s="53" t="s">
        <v>550</v>
      </c>
      <c r="F140" s="53" t="s">
        <v>622</v>
      </c>
      <c r="G140" s="53" t="s">
        <v>39</v>
      </c>
      <c r="H140" s="53" t="s">
        <v>526</v>
      </c>
      <c r="I140" s="53" t="s">
        <v>23</v>
      </c>
      <c r="J140" s="53" t="s">
        <v>24</v>
      </c>
      <c r="K140" s="53" t="s">
        <v>25</v>
      </c>
      <c r="L140" s="42">
        <v>46141</v>
      </c>
      <c r="M140" s="53" t="s">
        <v>43</v>
      </c>
      <c r="N140" s="53" t="s">
        <v>43</v>
      </c>
      <c r="O140" s="53" t="s">
        <v>43</v>
      </c>
      <c r="R140" s="53" t="s">
        <v>43</v>
      </c>
      <c r="S140" s="53" t="s">
        <v>54</v>
      </c>
      <c r="T140" s="53">
        <v>37304</v>
      </c>
      <c r="U140" s="53" t="s">
        <v>49</v>
      </c>
    </row>
    <row r="141" spans="1:22" ht="10" customHeight="1" x14ac:dyDescent="0.25">
      <c r="A141" s="138">
        <v>140</v>
      </c>
      <c r="B141" s="51">
        <v>2026</v>
      </c>
      <c r="C141" s="117" t="s">
        <v>87</v>
      </c>
      <c r="D141" s="53" t="s">
        <v>55</v>
      </c>
      <c r="E141" s="53" t="s">
        <v>623</v>
      </c>
      <c r="F141" s="53" t="s">
        <v>597</v>
      </c>
      <c r="G141" s="53" t="s">
        <v>79</v>
      </c>
      <c r="H141" s="53" t="s">
        <v>40</v>
      </c>
      <c r="I141" s="53" t="s">
        <v>104</v>
      </c>
      <c r="J141" s="53" t="s">
        <v>624</v>
      </c>
      <c r="K141" s="53" t="s">
        <v>25</v>
      </c>
      <c r="L141" s="42">
        <v>46139</v>
      </c>
      <c r="M141" s="53" t="s">
        <v>47</v>
      </c>
      <c r="N141" s="53" t="s">
        <v>32</v>
      </c>
      <c r="O141" s="53" t="s">
        <v>27</v>
      </c>
      <c r="P141" s="53" t="s">
        <v>621</v>
      </c>
      <c r="R141" s="53" t="s">
        <v>48</v>
      </c>
      <c r="S141" s="53" t="s">
        <v>28</v>
      </c>
      <c r="T141" s="53">
        <v>904783.35999999999</v>
      </c>
      <c r="U141" s="53" t="s">
        <v>49</v>
      </c>
      <c r="V141" s="53">
        <v>36</v>
      </c>
    </row>
    <row r="142" spans="1:22" ht="10" customHeight="1" x14ac:dyDescent="0.25">
      <c r="A142" s="138">
        <v>141</v>
      </c>
      <c r="B142" s="51">
        <v>2026</v>
      </c>
      <c r="C142" s="117" t="s">
        <v>87</v>
      </c>
      <c r="D142" s="53" t="s">
        <v>55</v>
      </c>
      <c r="E142" s="53" t="s">
        <v>779</v>
      </c>
      <c r="F142" s="53" t="s">
        <v>951</v>
      </c>
      <c r="G142" s="53" t="s">
        <v>39</v>
      </c>
      <c r="H142" s="53" t="s">
        <v>51</v>
      </c>
      <c r="I142" s="53" t="s">
        <v>23</v>
      </c>
      <c r="J142" s="53" t="s">
        <v>24</v>
      </c>
      <c r="K142" s="53" t="s">
        <v>77</v>
      </c>
      <c r="L142" s="42">
        <v>46149</v>
      </c>
      <c r="M142" s="53" t="s">
        <v>109</v>
      </c>
      <c r="N142" s="53" t="s">
        <v>36</v>
      </c>
      <c r="O142" s="53" t="s">
        <v>43</v>
      </c>
      <c r="Q142" s="53" t="s">
        <v>952</v>
      </c>
      <c r="R142" s="53" t="s">
        <v>36</v>
      </c>
      <c r="S142" s="53" t="s">
        <v>54</v>
      </c>
      <c r="T142" s="53">
        <v>213955</v>
      </c>
      <c r="U142" s="53" t="s">
        <v>49</v>
      </c>
    </row>
    <row r="143" spans="1:22" ht="10" customHeight="1" x14ac:dyDescent="0.25">
      <c r="A143" s="138">
        <v>142</v>
      </c>
      <c r="B143" s="51">
        <v>2026</v>
      </c>
      <c r="C143" s="117" t="s">
        <v>87</v>
      </c>
      <c r="D143" s="53" t="s">
        <v>83</v>
      </c>
      <c r="E143" s="53" t="s">
        <v>592</v>
      </c>
      <c r="F143" s="53" t="s">
        <v>953</v>
      </c>
      <c r="G143" s="53" t="s">
        <v>39</v>
      </c>
      <c r="H143" s="53" t="s">
        <v>51</v>
      </c>
      <c r="I143" s="53" t="s">
        <v>62</v>
      </c>
      <c r="J143" s="53" t="s">
        <v>24</v>
      </c>
      <c r="K143" s="53" t="s">
        <v>25</v>
      </c>
      <c r="L143" s="42">
        <v>46153</v>
      </c>
      <c r="M143" s="53" t="s">
        <v>60</v>
      </c>
      <c r="N143" s="53" t="s">
        <v>60</v>
      </c>
      <c r="O143" s="53" t="s">
        <v>27</v>
      </c>
      <c r="P143" s="53" t="s">
        <v>43</v>
      </c>
      <c r="Q143" s="53" t="s">
        <v>954</v>
      </c>
      <c r="R143" s="53" t="s">
        <v>60</v>
      </c>
      <c r="S143" s="53" t="s">
        <v>54</v>
      </c>
      <c r="T143" s="53">
        <v>47777.97</v>
      </c>
      <c r="U143" s="53" t="s">
        <v>49</v>
      </c>
      <c r="V143" s="53">
        <v>6</v>
      </c>
    </row>
    <row r="144" spans="1:22" ht="10" customHeight="1" x14ac:dyDescent="0.25">
      <c r="A144" s="138">
        <v>143</v>
      </c>
      <c r="B144" s="51">
        <v>2026</v>
      </c>
      <c r="C144" s="117" t="s">
        <v>87</v>
      </c>
      <c r="D144" s="53" t="s">
        <v>55</v>
      </c>
      <c r="E144" s="53" t="s">
        <v>955</v>
      </c>
      <c r="F144" s="53" t="s">
        <v>956</v>
      </c>
      <c r="G144" s="53" t="s">
        <v>79</v>
      </c>
      <c r="H144" s="53" t="s">
        <v>51</v>
      </c>
      <c r="I144" s="53" t="s">
        <v>62</v>
      </c>
      <c r="J144" s="53" t="s">
        <v>116</v>
      </c>
      <c r="K144" s="53" t="s">
        <v>25</v>
      </c>
      <c r="L144" s="42">
        <v>46154</v>
      </c>
      <c r="M144" s="53" t="s">
        <v>92</v>
      </c>
      <c r="N144" s="53" t="s">
        <v>92</v>
      </c>
      <c r="P144" s="53" t="s">
        <v>60</v>
      </c>
      <c r="Q144" s="53" t="s">
        <v>117</v>
      </c>
      <c r="R144" s="53" t="s">
        <v>92</v>
      </c>
      <c r="S144" s="53" t="s">
        <v>43</v>
      </c>
      <c r="T144" s="53">
        <v>18445</v>
      </c>
      <c r="U144" s="53" t="s">
        <v>49</v>
      </c>
      <c r="V144" s="53">
        <v>1</v>
      </c>
    </row>
    <row r="145" spans="1:22" ht="10" customHeight="1" x14ac:dyDescent="0.25">
      <c r="A145" s="138">
        <v>144</v>
      </c>
      <c r="B145" s="51">
        <v>2026</v>
      </c>
      <c r="C145" s="117" t="s">
        <v>87</v>
      </c>
      <c r="D145" s="53" t="s">
        <v>63</v>
      </c>
      <c r="E145" s="53" t="s">
        <v>957</v>
      </c>
      <c r="F145" s="53" t="s">
        <v>958</v>
      </c>
      <c r="G145" s="53" t="s">
        <v>34</v>
      </c>
      <c r="H145" s="53" t="s">
        <v>51</v>
      </c>
      <c r="I145" s="53" t="s">
        <v>23</v>
      </c>
      <c r="J145" s="53" t="s">
        <v>24</v>
      </c>
      <c r="K145" s="53" t="s">
        <v>58</v>
      </c>
      <c r="M145" s="53" t="s">
        <v>27</v>
      </c>
      <c r="O145" s="53" t="s">
        <v>27</v>
      </c>
      <c r="R145" s="53" t="s">
        <v>27</v>
      </c>
      <c r="S145" s="53" t="s">
        <v>41</v>
      </c>
      <c r="U145" s="53" t="s">
        <v>95</v>
      </c>
    </row>
    <row r="146" spans="1:22" ht="10" customHeight="1" x14ac:dyDescent="0.25">
      <c r="A146" s="138">
        <v>145</v>
      </c>
      <c r="B146" s="51">
        <v>2026</v>
      </c>
      <c r="C146" s="117" t="s">
        <v>87</v>
      </c>
      <c r="D146" s="53" t="s">
        <v>959</v>
      </c>
      <c r="E146" s="53" t="s">
        <v>960</v>
      </c>
      <c r="F146" s="53" t="s">
        <v>961</v>
      </c>
      <c r="H146" s="53" t="s">
        <v>80</v>
      </c>
      <c r="I146" s="53" t="s">
        <v>23</v>
      </c>
      <c r="J146" s="53" t="s">
        <v>106</v>
      </c>
      <c r="K146" s="53" t="s">
        <v>85</v>
      </c>
      <c r="L146" s="42">
        <v>46162</v>
      </c>
      <c r="M146" s="53" t="s">
        <v>962</v>
      </c>
      <c r="Q146" s="53" t="s">
        <v>899</v>
      </c>
      <c r="R146" s="53" t="s">
        <v>523</v>
      </c>
      <c r="S146" s="53" t="s">
        <v>78</v>
      </c>
      <c r="U146" s="53" t="s">
        <v>95</v>
      </c>
    </row>
    <row r="147" spans="1:22" ht="10" customHeight="1" x14ac:dyDescent="0.25">
      <c r="A147" s="138">
        <v>146</v>
      </c>
      <c r="B147" s="51">
        <v>2026</v>
      </c>
      <c r="C147" s="117" t="s">
        <v>87</v>
      </c>
      <c r="D147" s="53" t="s">
        <v>55</v>
      </c>
      <c r="E147" s="53" t="s">
        <v>546</v>
      </c>
      <c r="F147" s="53" t="s">
        <v>963</v>
      </c>
      <c r="G147" s="53" t="s">
        <v>508</v>
      </c>
      <c r="H147" s="53" t="s">
        <v>40</v>
      </c>
      <c r="I147" s="53" t="s">
        <v>62</v>
      </c>
      <c r="J147" s="53" t="s">
        <v>106</v>
      </c>
      <c r="K147" s="53" t="s">
        <v>25</v>
      </c>
      <c r="L147" s="42">
        <v>46165</v>
      </c>
      <c r="M147" s="53" t="s">
        <v>962</v>
      </c>
      <c r="N147" s="53" t="s">
        <v>523</v>
      </c>
      <c r="O147" s="53" t="s">
        <v>78</v>
      </c>
      <c r="Q147" s="53" t="s">
        <v>899</v>
      </c>
      <c r="R147" s="53" t="s">
        <v>523</v>
      </c>
      <c r="S147" s="53" t="s">
        <v>78</v>
      </c>
      <c r="T147" s="53">
        <v>60000</v>
      </c>
      <c r="U147" s="53" t="s">
        <v>95</v>
      </c>
    </row>
    <row r="148" spans="1:22" ht="10" customHeight="1" x14ac:dyDescent="0.25">
      <c r="A148" s="138">
        <v>147</v>
      </c>
      <c r="B148" s="51">
        <v>2026</v>
      </c>
      <c r="C148" s="117" t="s">
        <v>87</v>
      </c>
      <c r="D148" s="53" t="s">
        <v>55</v>
      </c>
      <c r="E148" s="53" t="s">
        <v>779</v>
      </c>
      <c r="F148" s="53" t="s">
        <v>964</v>
      </c>
      <c r="G148" s="53" t="s">
        <v>39</v>
      </c>
      <c r="H148" s="53" t="s">
        <v>40</v>
      </c>
      <c r="I148" s="53" t="s">
        <v>23</v>
      </c>
      <c r="J148" s="53" t="s">
        <v>24</v>
      </c>
      <c r="K148" s="53" t="s">
        <v>25</v>
      </c>
      <c r="L148" s="42">
        <v>46167</v>
      </c>
      <c r="M148" s="53" t="s">
        <v>60</v>
      </c>
      <c r="N148" s="53" t="s">
        <v>53</v>
      </c>
      <c r="O148" s="53" t="s">
        <v>32</v>
      </c>
      <c r="P148" s="53" t="s">
        <v>43</v>
      </c>
      <c r="Q148" s="53" t="s">
        <v>965</v>
      </c>
      <c r="R148" s="53" t="s">
        <v>60</v>
      </c>
      <c r="S148" s="53" t="s">
        <v>54</v>
      </c>
      <c r="T148" s="53">
        <v>137528</v>
      </c>
      <c r="U148" s="53" t="s">
        <v>49</v>
      </c>
      <c r="V148" s="53">
        <v>6</v>
      </c>
    </row>
    <row r="149" spans="1:22" ht="10" customHeight="1" x14ac:dyDescent="0.25">
      <c r="A149" s="138">
        <v>148</v>
      </c>
      <c r="B149" s="51">
        <v>2026</v>
      </c>
      <c r="C149" s="117" t="s">
        <v>87</v>
      </c>
      <c r="D149" s="53" t="s">
        <v>19</v>
      </c>
      <c r="E149" s="53" t="s">
        <v>42</v>
      </c>
      <c r="F149" s="53" t="s">
        <v>966</v>
      </c>
      <c r="H149" s="53" t="s">
        <v>44</v>
      </c>
      <c r="I149" s="53" t="s">
        <v>23</v>
      </c>
      <c r="J149" s="53" t="s">
        <v>88</v>
      </c>
      <c r="K149" s="53" t="s">
        <v>58</v>
      </c>
      <c r="L149" s="42">
        <v>46156</v>
      </c>
      <c r="M149" s="53" t="s">
        <v>89</v>
      </c>
      <c r="N149" s="53" t="s">
        <v>36</v>
      </c>
      <c r="O149" s="53" t="s">
        <v>90</v>
      </c>
      <c r="P149" s="53" t="s">
        <v>60</v>
      </c>
      <c r="Q149" s="53" t="s">
        <v>967</v>
      </c>
      <c r="R149" s="53" t="s">
        <v>89</v>
      </c>
      <c r="S149" s="53" t="s">
        <v>113</v>
      </c>
      <c r="T149" s="53">
        <v>87726.85</v>
      </c>
      <c r="U149" s="53" t="s">
        <v>49</v>
      </c>
      <c r="V149" s="53">
        <v>3</v>
      </c>
    </row>
    <row r="150" spans="1:22" ht="10" customHeight="1" x14ac:dyDescent="0.25">
      <c r="A150" s="138">
        <v>149</v>
      </c>
      <c r="B150" s="51">
        <v>2026</v>
      </c>
      <c r="C150" s="117" t="s">
        <v>87</v>
      </c>
      <c r="D150" s="53" t="s">
        <v>517</v>
      </c>
      <c r="E150" s="53" t="s">
        <v>853</v>
      </c>
      <c r="F150" s="53" t="s">
        <v>968</v>
      </c>
      <c r="G150" s="53" t="s">
        <v>56</v>
      </c>
      <c r="H150" s="53" t="s">
        <v>22</v>
      </c>
      <c r="I150" s="53" t="s">
        <v>23</v>
      </c>
      <c r="J150" s="53" t="s">
        <v>881</v>
      </c>
      <c r="K150" s="53" t="s">
        <v>25</v>
      </c>
      <c r="L150" s="42">
        <v>46163</v>
      </c>
      <c r="M150" s="53" t="s">
        <v>59</v>
      </c>
      <c r="N150" s="53" t="s">
        <v>48</v>
      </c>
      <c r="O150" s="53" t="s">
        <v>969</v>
      </c>
      <c r="R150" s="53" t="s">
        <v>59</v>
      </c>
      <c r="S150" s="53" t="s">
        <v>33</v>
      </c>
      <c r="T150" s="53">
        <v>61684</v>
      </c>
      <c r="U150" s="53" t="s">
        <v>49</v>
      </c>
      <c r="V150" s="53">
        <v>4</v>
      </c>
    </row>
    <row r="151" spans="1:22" ht="10" customHeight="1" x14ac:dyDescent="0.25">
      <c r="A151" s="138">
        <v>150</v>
      </c>
      <c r="B151" s="51">
        <v>2026</v>
      </c>
      <c r="C151" s="117" t="s">
        <v>87</v>
      </c>
      <c r="D151" s="53" t="s">
        <v>55</v>
      </c>
      <c r="E151" s="53" t="s">
        <v>970</v>
      </c>
      <c r="F151" s="53" t="s">
        <v>971</v>
      </c>
      <c r="G151" s="53" t="s">
        <v>39</v>
      </c>
      <c r="H151" s="53" t="s">
        <v>526</v>
      </c>
      <c r="I151" s="53" t="s">
        <v>62</v>
      </c>
      <c r="J151" s="53" t="s">
        <v>24</v>
      </c>
      <c r="K151" s="53" t="s">
        <v>58</v>
      </c>
      <c r="L151" s="42">
        <v>46160</v>
      </c>
      <c r="M151" s="53" t="s">
        <v>43</v>
      </c>
      <c r="N151" s="53" t="s">
        <v>36</v>
      </c>
      <c r="O151" s="53" t="s">
        <v>43</v>
      </c>
      <c r="P151" s="53" t="s">
        <v>109</v>
      </c>
      <c r="Q151" s="53" t="s">
        <v>972</v>
      </c>
      <c r="R151" s="53" t="s">
        <v>43</v>
      </c>
      <c r="S151" s="53" t="s">
        <v>54</v>
      </c>
      <c r="T151" s="53">
        <v>78815</v>
      </c>
      <c r="U151" s="53" t="s">
        <v>49</v>
      </c>
    </row>
    <row r="152" spans="1:22" ht="10" customHeight="1" x14ac:dyDescent="0.25">
      <c r="A152" s="138">
        <v>151</v>
      </c>
      <c r="B152" s="51">
        <v>2026</v>
      </c>
      <c r="C152" s="117" t="s">
        <v>87</v>
      </c>
      <c r="D152" s="53" t="s">
        <v>55</v>
      </c>
      <c r="E152" s="53" t="s">
        <v>64</v>
      </c>
      <c r="F152" s="53" t="s">
        <v>973</v>
      </c>
      <c r="G152" s="53" t="s">
        <v>50</v>
      </c>
      <c r="H152" s="53" t="s">
        <v>51</v>
      </c>
      <c r="I152" s="53" t="s">
        <v>23</v>
      </c>
      <c r="J152" s="53" t="s">
        <v>974</v>
      </c>
      <c r="K152" s="53" t="s">
        <v>25</v>
      </c>
      <c r="L152" s="42">
        <v>46167</v>
      </c>
      <c r="M152" s="53" t="s">
        <v>53</v>
      </c>
      <c r="N152" s="53" t="s">
        <v>36</v>
      </c>
      <c r="O152" s="53" t="s">
        <v>65</v>
      </c>
      <c r="Q152" s="53" t="s">
        <v>975</v>
      </c>
      <c r="R152" s="53" t="s">
        <v>48</v>
      </c>
      <c r="S152" s="53" t="s">
        <v>52</v>
      </c>
      <c r="T152" s="53">
        <v>122050.6</v>
      </c>
      <c r="U152" s="53" t="s">
        <v>49</v>
      </c>
      <c r="V152" s="53">
        <v>12</v>
      </c>
    </row>
    <row r="153" spans="1:22" ht="10" customHeight="1" x14ac:dyDescent="0.25">
      <c r="A153" s="138">
        <v>152</v>
      </c>
      <c r="B153" s="51">
        <v>2026</v>
      </c>
      <c r="C153" s="117" t="s">
        <v>87</v>
      </c>
      <c r="D153" s="53" t="s">
        <v>55</v>
      </c>
      <c r="E153" s="53" t="s">
        <v>562</v>
      </c>
      <c r="F153" s="53" t="s">
        <v>976</v>
      </c>
      <c r="G153" s="53" t="s">
        <v>977</v>
      </c>
      <c r="H153" s="53" t="s">
        <v>713</v>
      </c>
      <c r="I153" s="53" t="s">
        <v>104</v>
      </c>
      <c r="J153" s="53" t="s">
        <v>978</v>
      </c>
      <c r="K153" s="53" t="s">
        <v>25</v>
      </c>
      <c r="L153" s="42">
        <v>46176</v>
      </c>
      <c r="M153" s="53" t="s">
        <v>506</v>
      </c>
      <c r="N153" s="53" t="s">
        <v>621</v>
      </c>
      <c r="O153" s="53" t="s">
        <v>32</v>
      </c>
      <c r="P153" s="53" t="s">
        <v>60</v>
      </c>
      <c r="Q153" s="53" t="s">
        <v>979</v>
      </c>
      <c r="R153" s="53" t="s">
        <v>60</v>
      </c>
      <c r="S153" s="53" t="s">
        <v>43</v>
      </c>
      <c r="T153" s="53">
        <v>60166.16</v>
      </c>
      <c r="U153" s="53" t="s">
        <v>49</v>
      </c>
      <c r="V153" s="53">
        <v>6</v>
      </c>
    </row>
    <row r="154" spans="1:22" ht="10" customHeight="1" x14ac:dyDescent="0.25">
      <c r="A154" s="138">
        <v>153</v>
      </c>
      <c r="B154" s="51">
        <v>2026</v>
      </c>
      <c r="C154" s="117" t="s">
        <v>87</v>
      </c>
      <c r="D154" s="53" t="s">
        <v>83</v>
      </c>
      <c r="E154" s="53" t="s">
        <v>980</v>
      </c>
      <c r="F154" s="53" t="s">
        <v>981</v>
      </c>
      <c r="G154" s="53" t="s">
        <v>39</v>
      </c>
      <c r="H154" s="53" t="s">
        <v>44</v>
      </c>
      <c r="I154" s="53" t="s">
        <v>23</v>
      </c>
      <c r="J154" s="53" t="s">
        <v>978</v>
      </c>
      <c r="K154" s="53" t="s">
        <v>25</v>
      </c>
      <c r="L154" s="42">
        <v>46169</v>
      </c>
      <c r="M154" s="53" t="s">
        <v>109</v>
      </c>
      <c r="N154" s="53" t="s">
        <v>36</v>
      </c>
      <c r="O154" s="53" t="s">
        <v>43</v>
      </c>
      <c r="R154" s="53" t="s">
        <v>109</v>
      </c>
      <c r="S154" s="53" t="s">
        <v>54</v>
      </c>
      <c r="T154" s="53">
        <v>33017.660000000003</v>
      </c>
      <c r="U154" s="53" t="s">
        <v>49</v>
      </c>
    </row>
    <row r="155" spans="1:22" ht="10" customHeight="1" x14ac:dyDescent="0.25">
      <c r="A155" s="138">
        <v>154</v>
      </c>
      <c r="B155" s="51">
        <v>2026</v>
      </c>
      <c r="C155" s="117" t="s">
        <v>87</v>
      </c>
      <c r="D155" s="53" t="s">
        <v>55</v>
      </c>
      <c r="E155" s="53" t="s">
        <v>562</v>
      </c>
      <c r="F155" s="53" t="s">
        <v>982</v>
      </c>
      <c r="G155" s="53" t="s">
        <v>74</v>
      </c>
      <c r="H155" s="53" t="s">
        <v>526</v>
      </c>
      <c r="I155" s="53" t="s">
        <v>62</v>
      </c>
      <c r="J155" s="53" t="s">
        <v>983</v>
      </c>
      <c r="K155" s="53" t="s">
        <v>25</v>
      </c>
      <c r="L155" s="42">
        <v>46185</v>
      </c>
      <c r="M155" s="53" t="s">
        <v>60</v>
      </c>
      <c r="N155" s="53" t="s">
        <v>48</v>
      </c>
      <c r="O155" s="53" t="s">
        <v>89</v>
      </c>
      <c r="P155" s="53" t="s">
        <v>92</v>
      </c>
      <c r="R155" s="53" t="s">
        <v>60</v>
      </c>
      <c r="S155" s="53" t="s">
        <v>54</v>
      </c>
      <c r="U155" s="53" t="s">
        <v>95</v>
      </c>
      <c r="V155" s="53">
        <v>9</v>
      </c>
    </row>
    <row r="156" spans="1:22" ht="10" customHeight="1" x14ac:dyDescent="0.25">
      <c r="A156" s="138">
        <v>155</v>
      </c>
      <c r="B156" s="51">
        <v>2026</v>
      </c>
      <c r="C156" s="117" t="s">
        <v>87</v>
      </c>
      <c r="D156" s="53" t="s">
        <v>83</v>
      </c>
      <c r="E156" s="53" t="s">
        <v>984</v>
      </c>
      <c r="F156" s="53" t="s">
        <v>985</v>
      </c>
      <c r="K156" s="53" t="s">
        <v>77</v>
      </c>
      <c r="L156" s="42">
        <v>46171</v>
      </c>
      <c r="M156" s="53" t="s">
        <v>506</v>
      </c>
      <c r="N156" s="53" t="s">
        <v>48</v>
      </c>
      <c r="O156" s="53" t="s">
        <v>60</v>
      </c>
      <c r="P156" s="53" t="s">
        <v>92</v>
      </c>
      <c r="R156" s="53" t="s">
        <v>59</v>
      </c>
      <c r="S156" s="53" t="s">
        <v>43</v>
      </c>
      <c r="T156" s="53">
        <v>77099.490000000005</v>
      </c>
      <c r="U156" s="53" t="s">
        <v>49</v>
      </c>
    </row>
    <row r="157" spans="1:22" ht="10" customHeight="1" x14ac:dyDescent="0.25">
      <c r="A157" s="138">
        <v>156</v>
      </c>
      <c r="B157" s="51">
        <v>2026</v>
      </c>
      <c r="C157" s="117" t="s">
        <v>87</v>
      </c>
      <c r="D157" s="53" t="s">
        <v>799</v>
      </c>
      <c r="E157" s="53" t="s">
        <v>509</v>
      </c>
      <c r="F157" s="53" t="s">
        <v>986</v>
      </c>
      <c r="L157" s="42">
        <v>46181</v>
      </c>
      <c r="M157" s="53" t="s">
        <v>27</v>
      </c>
      <c r="N157" s="53" t="s">
        <v>36</v>
      </c>
      <c r="O157" s="53" t="s">
        <v>59</v>
      </c>
      <c r="P157" s="53" t="s">
        <v>621</v>
      </c>
      <c r="R157" s="53" t="s">
        <v>538</v>
      </c>
      <c r="S157" s="53" t="s">
        <v>52</v>
      </c>
      <c r="T157" s="53">
        <v>15000</v>
      </c>
      <c r="U157" s="53" t="s">
        <v>49</v>
      </c>
      <c r="V157" s="53">
        <v>3</v>
      </c>
    </row>
    <row r="158" spans="1:22" ht="10" customHeight="1" x14ac:dyDescent="0.25">
      <c r="A158" s="138">
        <v>157</v>
      </c>
      <c r="B158" s="51">
        <v>2026</v>
      </c>
      <c r="C158" s="117" t="s">
        <v>87</v>
      </c>
      <c r="D158" s="53" t="s">
        <v>30</v>
      </c>
      <c r="E158" s="53" t="s">
        <v>987</v>
      </c>
      <c r="F158" s="53" t="s">
        <v>988</v>
      </c>
      <c r="G158" s="53" t="s">
        <v>508</v>
      </c>
      <c r="H158" s="53" t="s">
        <v>22</v>
      </c>
      <c r="I158" s="53" t="s">
        <v>104</v>
      </c>
      <c r="J158" s="53" t="s">
        <v>24</v>
      </c>
      <c r="K158" s="53" t="s">
        <v>25</v>
      </c>
      <c r="L158" s="42">
        <v>46178</v>
      </c>
      <c r="M158" s="53" t="s">
        <v>27</v>
      </c>
      <c r="N158" s="53" t="s">
        <v>36</v>
      </c>
      <c r="O158" s="53" t="s">
        <v>36</v>
      </c>
      <c r="Q158" s="53" t="s">
        <v>989</v>
      </c>
      <c r="R158" s="53" t="s">
        <v>48</v>
      </c>
      <c r="S158" s="53" t="s">
        <v>41</v>
      </c>
      <c r="T158" s="53">
        <v>167739.19</v>
      </c>
      <c r="U158" s="53" t="s">
        <v>49</v>
      </c>
      <c r="V158" s="53">
        <v>3</v>
      </c>
    </row>
    <row r="159" spans="1:22" ht="10" customHeight="1" x14ac:dyDescent="0.25">
      <c r="A159" s="138">
        <v>158</v>
      </c>
      <c r="B159" s="126">
        <v>2026</v>
      </c>
      <c r="C159" s="128" t="s">
        <v>87</v>
      </c>
      <c r="D159" s="53" t="s">
        <v>30</v>
      </c>
      <c r="E159" s="53" t="s">
        <v>990</v>
      </c>
      <c r="F159" s="57" t="s">
        <v>991</v>
      </c>
      <c r="G159" s="53" t="s">
        <v>74</v>
      </c>
      <c r="H159" s="53" t="s">
        <v>44</v>
      </c>
      <c r="I159" s="53" t="s">
        <v>104</v>
      </c>
      <c r="J159" s="53" t="s">
        <v>24</v>
      </c>
      <c r="K159" s="53" t="s">
        <v>25</v>
      </c>
      <c r="L159" s="141">
        <v>46195</v>
      </c>
      <c r="M159" s="67" t="s">
        <v>60</v>
      </c>
      <c r="N159" s="53" t="s">
        <v>32</v>
      </c>
      <c r="O159" s="53" t="s">
        <v>89</v>
      </c>
      <c r="R159" s="53" t="s">
        <v>60</v>
      </c>
      <c r="S159" s="53" t="s">
        <v>28</v>
      </c>
      <c r="U159" s="53" t="s">
        <v>95</v>
      </c>
      <c r="V159" s="53">
        <v>1</v>
      </c>
    </row>
    <row r="160" spans="1:22" ht="10" customHeight="1" x14ac:dyDescent="0.25">
      <c r="A160" s="138">
        <v>159</v>
      </c>
      <c r="B160" s="126">
        <v>2026</v>
      </c>
      <c r="C160" s="128" t="s">
        <v>87</v>
      </c>
      <c r="D160" s="53" t="s">
        <v>55</v>
      </c>
      <c r="E160" s="53" t="s">
        <v>20</v>
      </c>
      <c r="F160" s="57" t="s">
        <v>992</v>
      </c>
      <c r="G160" s="53" t="s">
        <v>56</v>
      </c>
      <c r="H160" s="53" t="s">
        <v>22</v>
      </c>
      <c r="I160" s="53" t="s">
        <v>23</v>
      </c>
      <c r="J160" s="53" t="s">
        <v>978</v>
      </c>
      <c r="K160" s="53" t="s">
        <v>25</v>
      </c>
      <c r="L160" s="141">
        <v>46150</v>
      </c>
      <c r="M160" s="67" t="s">
        <v>506</v>
      </c>
      <c r="N160" s="53" t="s">
        <v>48</v>
      </c>
      <c r="O160" s="53" t="s">
        <v>33</v>
      </c>
      <c r="Q160" s="53" t="s">
        <v>993</v>
      </c>
      <c r="R160" s="53" t="s">
        <v>47</v>
      </c>
      <c r="S160" s="53" t="s">
        <v>90</v>
      </c>
      <c r="T160" s="142">
        <v>300474.76</v>
      </c>
      <c r="U160" s="53" t="s">
        <v>70</v>
      </c>
      <c r="V160" s="53">
        <v>4</v>
      </c>
    </row>
    <row r="161" spans="1:22" ht="10" customHeight="1" x14ac:dyDescent="0.25">
      <c r="A161" s="138">
        <v>160</v>
      </c>
      <c r="B161" s="126">
        <v>2026</v>
      </c>
      <c r="C161" s="128" t="s">
        <v>87</v>
      </c>
      <c r="D161" s="53" t="s">
        <v>83</v>
      </c>
      <c r="E161" s="53" t="s">
        <v>994</v>
      </c>
      <c r="F161" s="57" t="s">
        <v>995</v>
      </c>
      <c r="G161" s="53" t="s">
        <v>39</v>
      </c>
      <c r="H161" s="53" t="s">
        <v>44</v>
      </c>
      <c r="I161" s="53" t="s">
        <v>23</v>
      </c>
      <c r="J161" s="53" t="s">
        <v>24</v>
      </c>
      <c r="K161" s="53" t="s">
        <v>58</v>
      </c>
      <c r="L161" s="141">
        <v>46181</v>
      </c>
      <c r="M161" s="67" t="s">
        <v>46</v>
      </c>
      <c r="N161" s="53" t="s">
        <v>48</v>
      </c>
      <c r="O161" s="53" t="s">
        <v>59</v>
      </c>
      <c r="R161" s="53" t="s">
        <v>59</v>
      </c>
      <c r="S161" s="53" t="s">
        <v>54</v>
      </c>
      <c r="T161" s="142">
        <v>80568.2</v>
      </c>
      <c r="U161" s="53" t="s">
        <v>946</v>
      </c>
      <c r="V161" s="53">
        <v>4</v>
      </c>
    </row>
    <row r="162" spans="1:22" ht="10" customHeight="1" x14ac:dyDescent="0.25">
      <c r="A162" s="16">
        <v>161</v>
      </c>
      <c r="B162" s="126">
        <v>2026</v>
      </c>
      <c r="C162" s="128" t="s">
        <v>87</v>
      </c>
      <c r="D162" s="53" t="s">
        <v>30</v>
      </c>
      <c r="E162" s="53" t="s">
        <v>1031</v>
      </c>
      <c r="F162" s="53" t="s">
        <v>1032</v>
      </c>
      <c r="G162" s="53" t="s">
        <v>612</v>
      </c>
      <c r="H162" s="53" t="s">
        <v>22</v>
      </c>
      <c r="I162" s="53" t="s">
        <v>23</v>
      </c>
      <c r="J162" s="53" t="s">
        <v>1033</v>
      </c>
      <c r="K162" s="53" t="s">
        <v>25</v>
      </c>
      <c r="L162" s="141">
        <v>46209</v>
      </c>
      <c r="M162" s="67" t="s">
        <v>47</v>
      </c>
      <c r="N162" s="67" t="s">
        <v>36</v>
      </c>
      <c r="O162" s="67" t="s">
        <v>32</v>
      </c>
      <c r="P162" s="67"/>
      <c r="Q162" s="67"/>
      <c r="R162" s="67" t="s">
        <v>48</v>
      </c>
      <c r="S162" s="67" t="s">
        <v>41</v>
      </c>
      <c r="T162" s="142">
        <v>22500</v>
      </c>
      <c r="U162" s="53" t="s">
        <v>70</v>
      </c>
      <c r="V162" s="53">
        <v>4</v>
      </c>
    </row>
    <row r="163" spans="1:22" ht="10" customHeight="1" x14ac:dyDescent="0.25">
      <c r="A163" s="16">
        <v>162</v>
      </c>
      <c r="B163" s="126">
        <v>2026</v>
      </c>
      <c r="C163" s="128" t="s">
        <v>87</v>
      </c>
      <c r="D163" s="53" t="s">
        <v>19</v>
      </c>
      <c r="E163" s="53" t="s">
        <v>20</v>
      </c>
      <c r="F163" s="53" t="s">
        <v>1034</v>
      </c>
      <c r="G163" s="53" t="s">
        <v>612</v>
      </c>
      <c r="H163" s="53" t="s">
        <v>80</v>
      </c>
      <c r="I163" s="53" t="s">
        <v>23</v>
      </c>
      <c r="J163" s="53" t="s">
        <v>106</v>
      </c>
      <c r="K163" s="53" t="s">
        <v>1035</v>
      </c>
      <c r="L163" s="141">
        <v>46210</v>
      </c>
      <c r="M163" s="67"/>
      <c r="N163" s="67" t="s">
        <v>36</v>
      </c>
      <c r="O163" s="67" t="s">
        <v>89</v>
      </c>
      <c r="P163" s="67" t="s">
        <v>90</v>
      </c>
      <c r="Q163" s="67"/>
      <c r="R163" s="67" t="s">
        <v>523</v>
      </c>
      <c r="S163" s="67" t="s">
        <v>78</v>
      </c>
      <c r="T163" s="142">
        <v>100000</v>
      </c>
      <c r="U163" s="53" t="s">
        <v>70</v>
      </c>
      <c r="V163" s="53">
        <v>6</v>
      </c>
    </row>
    <row r="164" spans="1:22" ht="10" customHeight="1" x14ac:dyDescent="0.25">
      <c r="A164" s="16">
        <v>163</v>
      </c>
      <c r="B164" s="126">
        <v>2026</v>
      </c>
      <c r="C164" s="128" t="s">
        <v>87</v>
      </c>
      <c r="D164" s="53" t="s">
        <v>83</v>
      </c>
      <c r="E164" s="53" t="s">
        <v>1036</v>
      </c>
      <c r="F164" s="53" t="s">
        <v>1037</v>
      </c>
      <c r="G164" s="53" t="s">
        <v>39</v>
      </c>
      <c r="H164" s="53" t="s">
        <v>80</v>
      </c>
      <c r="I164" s="53" t="s">
        <v>23</v>
      </c>
      <c r="J164" s="53" t="s">
        <v>978</v>
      </c>
      <c r="K164" s="53" t="s">
        <v>25</v>
      </c>
      <c r="L164" s="141">
        <v>46183</v>
      </c>
      <c r="M164" s="67" t="s">
        <v>48</v>
      </c>
      <c r="N164" s="67"/>
      <c r="O164" s="67"/>
      <c r="P164" s="67"/>
      <c r="Q164" s="67" t="s">
        <v>1038</v>
      </c>
      <c r="R164" s="67" t="s">
        <v>53</v>
      </c>
      <c r="S164" s="67" t="s">
        <v>54</v>
      </c>
      <c r="T164" s="142">
        <v>112607</v>
      </c>
      <c r="U164" s="53" t="s">
        <v>70</v>
      </c>
    </row>
    <row r="165" spans="1:22" ht="10" customHeight="1" x14ac:dyDescent="0.25">
      <c r="A165" s="16">
        <v>164</v>
      </c>
      <c r="B165" s="126">
        <v>2026</v>
      </c>
      <c r="C165" s="128" t="s">
        <v>87</v>
      </c>
      <c r="D165" s="53" t="s">
        <v>30</v>
      </c>
      <c r="E165" s="53" t="s">
        <v>1039</v>
      </c>
      <c r="F165" s="53" t="s">
        <v>1040</v>
      </c>
      <c r="G165" s="53" t="s">
        <v>640</v>
      </c>
      <c r="H165" s="53" t="s">
        <v>40</v>
      </c>
      <c r="I165" s="53" t="s">
        <v>62</v>
      </c>
      <c r="J165" s="53" t="s">
        <v>605</v>
      </c>
      <c r="K165" s="53" t="s">
        <v>58</v>
      </c>
      <c r="L165" s="141">
        <v>46211</v>
      </c>
      <c r="M165" s="67" t="s">
        <v>67</v>
      </c>
      <c r="N165" s="67" t="s">
        <v>48</v>
      </c>
      <c r="O165" s="67" t="s">
        <v>27</v>
      </c>
      <c r="P165" s="67"/>
      <c r="Q165" s="67"/>
      <c r="R165" s="67" t="s">
        <v>67</v>
      </c>
      <c r="S165" s="67" t="s">
        <v>41</v>
      </c>
      <c r="T165" s="142">
        <v>24427.48</v>
      </c>
      <c r="U165" s="53" t="s">
        <v>49</v>
      </c>
    </row>
    <row r="166" spans="1:22" ht="10" customHeight="1" x14ac:dyDescent="0.25">
      <c r="A166" s="16">
        <v>165</v>
      </c>
      <c r="B166" s="126">
        <v>2026</v>
      </c>
      <c r="C166" s="128" t="s">
        <v>87</v>
      </c>
      <c r="D166" s="53" t="s">
        <v>55</v>
      </c>
      <c r="E166" s="53" t="s">
        <v>543</v>
      </c>
      <c r="F166" s="53" t="s">
        <v>1041</v>
      </c>
      <c r="G166" s="53" t="s">
        <v>56</v>
      </c>
      <c r="H166" s="53" t="s">
        <v>80</v>
      </c>
      <c r="I166" s="53" t="s">
        <v>23</v>
      </c>
      <c r="J166" s="53" t="s">
        <v>1042</v>
      </c>
      <c r="K166" s="53" t="s">
        <v>58</v>
      </c>
      <c r="L166" s="141">
        <v>46203</v>
      </c>
      <c r="M166" s="67"/>
      <c r="N166" s="67" t="s">
        <v>48</v>
      </c>
      <c r="O166" s="67" t="s">
        <v>53</v>
      </c>
      <c r="P166" s="67"/>
      <c r="Q166" s="67"/>
      <c r="R166" s="67" t="s">
        <v>65</v>
      </c>
      <c r="S166" s="67" t="s">
        <v>82</v>
      </c>
      <c r="T166" s="142">
        <v>76394.41</v>
      </c>
      <c r="U166" s="53" t="s">
        <v>98</v>
      </c>
      <c r="V166" s="53">
        <v>5</v>
      </c>
    </row>
    <row r="167" spans="1:22" ht="10" customHeight="1" x14ac:dyDescent="0.25">
      <c r="A167" s="16">
        <v>166</v>
      </c>
      <c r="B167" s="126">
        <v>2026</v>
      </c>
      <c r="C167" s="128" t="s">
        <v>87</v>
      </c>
      <c r="D167" s="53" t="s">
        <v>55</v>
      </c>
      <c r="E167" s="53" t="s">
        <v>99</v>
      </c>
      <c r="F167" s="53" t="s">
        <v>1043</v>
      </c>
      <c r="G167" s="53" t="s">
        <v>1044</v>
      </c>
      <c r="H167" s="53" t="s">
        <v>51</v>
      </c>
      <c r="I167" s="53" t="s">
        <v>23</v>
      </c>
      <c r="J167" s="53" t="s">
        <v>68</v>
      </c>
      <c r="K167" s="53" t="s">
        <v>77</v>
      </c>
      <c r="L167" s="141">
        <v>46203</v>
      </c>
      <c r="M167" s="67" t="s">
        <v>621</v>
      </c>
      <c r="N167" s="67" t="s">
        <v>46</v>
      </c>
      <c r="O167" s="67" t="s">
        <v>47</v>
      </c>
      <c r="P167" s="67"/>
      <c r="Q167" s="67" t="s">
        <v>1045</v>
      </c>
      <c r="R167" s="67" t="s">
        <v>61</v>
      </c>
      <c r="S167" s="67" t="s">
        <v>41</v>
      </c>
      <c r="T167" s="142">
        <v>27607</v>
      </c>
      <c r="U167" s="53" t="s">
        <v>49</v>
      </c>
      <c r="V167" s="53">
        <v>3</v>
      </c>
    </row>
    <row r="168" spans="1:22" ht="10" customHeight="1" x14ac:dyDescent="0.25">
      <c r="A168" s="16">
        <v>167</v>
      </c>
      <c r="B168" s="126">
        <v>2026</v>
      </c>
      <c r="C168" s="128" t="s">
        <v>87</v>
      </c>
      <c r="D168" s="53" t="s">
        <v>799</v>
      </c>
      <c r="L168" s="141"/>
      <c r="M168" s="67"/>
      <c r="N168" s="67"/>
      <c r="O168" s="67"/>
      <c r="P168" s="67"/>
      <c r="Q168" s="67"/>
      <c r="R168" s="67"/>
      <c r="S168" s="67"/>
      <c r="T168" s="142"/>
    </row>
    <row r="169" spans="1:22" ht="10" customHeight="1" x14ac:dyDescent="0.25">
      <c r="A169" s="16">
        <v>168</v>
      </c>
      <c r="B169" s="126">
        <v>2026</v>
      </c>
      <c r="C169" s="128" t="s">
        <v>87</v>
      </c>
      <c r="D169" s="53" t="s">
        <v>83</v>
      </c>
      <c r="E169" s="53" t="s">
        <v>1046</v>
      </c>
      <c r="F169" s="53" t="s">
        <v>1047</v>
      </c>
      <c r="G169" s="53" t="s">
        <v>39</v>
      </c>
      <c r="H169" s="53" t="s">
        <v>80</v>
      </c>
      <c r="I169" s="53" t="s">
        <v>23</v>
      </c>
      <c r="J169" s="53" t="s">
        <v>24</v>
      </c>
      <c r="K169" s="53" t="s">
        <v>85</v>
      </c>
      <c r="L169" s="141">
        <v>46206</v>
      </c>
      <c r="M169" s="67" t="s">
        <v>54</v>
      </c>
      <c r="N169" s="67" t="s">
        <v>54</v>
      </c>
      <c r="O169" s="67" t="s">
        <v>43</v>
      </c>
      <c r="P169" s="67"/>
      <c r="Q169" s="67"/>
      <c r="R169" s="67" t="s">
        <v>43</v>
      </c>
      <c r="S169" s="67" t="s">
        <v>54</v>
      </c>
      <c r="T169" s="142">
        <v>35550</v>
      </c>
      <c r="U169" s="53" t="s">
        <v>49</v>
      </c>
    </row>
    <row r="170" spans="1:22" ht="10" customHeight="1" x14ac:dyDescent="0.25">
      <c r="A170" s="16">
        <v>169</v>
      </c>
      <c r="B170" s="126">
        <v>2026</v>
      </c>
      <c r="C170" s="128" t="s">
        <v>87</v>
      </c>
      <c r="D170" s="53" t="s">
        <v>83</v>
      </c>
      <c r="E170" s="53" t="s">
        <v>1048</v>
      </c>
      <c r="F170" s="53" t="s">
        <v>1049</v>
      </c>
      <c r="G170" s="53" t="s">
        <v>640</v>
      </c>
      <c r="H170" s="53" t="s">
        <v>22</v>
      </c>
      <c r="I170" s="53" t="s">
        <v>62</v>
      </c>
      <c r="J170" s="53" t="s">
        <v>24</v>
      </c>
      <c r="K170" s="53" t="s">
        <v>85</v>
      </c>
      <c r="L170" s="141">
        <v>46209</v>
      </c>
      <c r="M170" s="67"/>
      <c r="N170" s="67" t="s">
        <v>65</v>
      </c>
      <c r="O170" s="67" t="s">
        <v>43</v>
      </c>
      <c r="P170" s="67"/>
      <c r="Q170" s="67"/>
      <c r="R170" s="67"/>
      <c r="S170" s="67" t="s">
        <v>28</v>
      </c>
      <c r="T170" s="142"/>
    </row>
    <row r="171" spans="1:22" ht="10" customHeight="1" x14ac:dyDescent="0.25">
      <c r="A171" s="16">
        <v>170</v>
      </c>
      <c r="B171" s="126">
        <v>2026</v>
      </c>
      <c r="C171" s="128" t="s">
        <v>87</v>
      </c>
      <c r="D171" s="53" t="s">
        <v>30</v>
      </c>
      <c r="E171" s="53" t="s">
        <v>1050</v>
      </c>
      <c r="F171" s="53" t="s">
        <v>1051</v>
      </c>
      <c r="G171" s="53" t="s">
        <v>1044</v>
      </c>
      <c r="H171" s="53" t="s">
        <v>567</v>
      </c>
      <c r="I171" s="53" t="s">
        <v>23</v>
      </c>
      <c r="J171" s="53" t="s">
        <v>71</v>
      </c>
      <c r="K171" s="53" t="s">
        <v>85</v>
      </c>
      <c r="L171" s="141">
        <v>46185</v>
      </c>
      <c r="M171" s="67" t="s">
        <v>41</v>
      </c>
      <c r="N171" s="67" t="s">
        <v>41</v>
      </c>
      <c r="O171" s="67" t="s">
        <v>52</v>
      </c>
      <c r="P171" s="67"/>
      <c r="Q171" s="67" t="s">
        <v>952</v>
      </c>
      <c r="R171" s="67" t="s">
        <v>41</v>
      </c>
      <c r="S171" s="67" t="s">
        <v>52</v>
      </c>
      <c r="T171" s="142">
        <v>24000</v>
      </c>
      <c r="U171" s="53" t="s">
        <v>49</v>
      </c>
    </row>
    <row r="172" spans="1:22" ht="10" customHeight="1" x14ac:dyDescent="0.25">
      <c r="A172" s="16">
        <v>171</v>
      </c>
      <c r="B172" s="126">
        <v>2026</v>
      </c>
      <c r="C172" s="128" t="s">
        <v>87</v>
      </c>
      <c r="D172" s="53" t="s">
        <v>19</v>
      </c>
      <c r="E172" s="53" t="s">
        <v>606</v>
      </c>
      <c r="F172" s="53" t="s">
        <v>1052</v>
      </c>
      <c r="G172" s="53" t="s">
        <v>50</v>
      </c>
      <c r="H172" s="53" t="s">
        <v>40</v>
      </c>
      <c r="I172" s="53" t="s">
        <v>62</v>
      </c>
      <c r="J172" s="53" t="s">
        <v>533</v>
      </c>
      <c r="K172" s="53" t="s">
        <v>58</v>
      </c>
      <c r="L172" s="141">
        <v>46202</v>
      </c>
      <c r="M172" s="67" t="s">
        <v>506</v>
      </c>
      <c r="N172" s="67" t="s">
        <v>46</v>
      </c>
      <c r="O172" s="67" t="s">
        <v>65</v>
      </c>
      <c r="P172" s="67"/>
      <c r="Q172" s="67" t="s">
        <v>975</v>
      </c>
      <c r="R172" s="67" t="s">
        <v>506</v>
      </c>
      <c r="S172" s="67" t="s">
        <v>52</v>
      </c>
      <c r="T172" s="142"/>
      <c r="U172" s="53" t="s">
        <v>49</v>
      </c>
      <c r="V172" s="53">
        <v>36</v>
      </c>
    </row>
    <row r="173" spans="1:22" ht="10" customHeight="1" x14ac:dyDescent="0.25">
      <c r="A173" s="16">
        <v>172</v>
      </c>
      <c r="B173" s="126">
        <v>2026</v>
      </c>
      <c r="C173" s="128" t="s">
        <v>87</v>
      </c>
      <c r="D173" s="53" t="s">
        <v>55</v>
      </c>
      <c r="E173" s="53" t="s">
        <v>546</v>
      </c>
      <c r="F173" s="53" t="s">
        <v>619</v>
      </c>
      <c r="G173" s="53" t="s">
        <v>640</v>
      </c>
      <c r="H173" s="53" t="s">
        <v>40</v>
      </c>
      <c r="I173" s="53" t="s">
        <v>23</v>
      </c>
      <c r="J173" s="53" t="s">
        <v>31</v>
      </c>
      <c r="K173" s="53" t="s">
        <v>77</v>
      </c>
      <c r="L173" s="141">
        <v>46132</v>
      </c>
      <c r="M173" s="67" t="s">
        <v>621</v>
      </c>
      <c r="N173" s="67" t="s">
        <v>59</v>
      </c>
      <c r="O173" s="67" t="s">
        <v>47</v>
      </c>
      <c r="P173" s="67"/>
      <c r="Q173" s="67"/>
      <c r="R173" s="67" t="s">
        <v>67</v>
      </c>
      <c r="S173" s="67" t="s">
        <v>54</v>
      </c>
      <c r="T173" s="142">
        <v>1000000</v>
      </c>
      <c r="U173" s="53" t="s">
        <v>49</v>
      </c>
    </row>
    <row r="174" spans="1:22" ht="10" customHeight="1" x14ac:dyDescent="0.25">
      <c r="A174" s="16">
        <v>173</v>
      </c>
      <c r="B174" s="126">
        <v>2026</v>
      </c>
      <c r="C174" s="128" t="s">
        <v>87</v>
      </c>
      <c r="D174" s="53" t="s">
        <v>112</v>
      </c>
      <c r="E174" s="53" t="s">
        <v>1053</v>
      </c>
      <c r="F174" s="53" t="s">
        <v>1054</v>
      </c>
      <c r="G174" s="53" t="s">
        <v>590</v>
      </c>
      <c r="H174" s="53" t="s">
        <v>567</v>
      </c>
      <c r="I174" s="53" t="s">
        <v>23</v>
      </c>
      <c r="J174" s="53" t="s">
        <v>93</v>
      </c>
      <c r="K174" s="53" t="s">
        <v>85</v>
      </c>
      <c r="L174" s="141">
        <v>46210</v>
      </c>
      <c r="M174" s="67" t="s">
        <v>53</v>
      </c>
      <c r="N174" s="67"/>
      <c r="O174" s="67" t="s">
        <v>32</v>
      </c>
      <c r="P174" s="67" t="s">
        <v>28</v>
      </c>
      <c r="Q174" s="67" t="s">
        <v>1055</v>
      </c>
      <c r="R174" s="67" t="s">
        <v>32</v>
      </c>
      <c r="S174" s="67" t="s">
        <v>28</v>
      </c>
      <c r="T174" s="142">
        <v>113922</v>
      </c>
      <c r="U174" s="53" t="s">
        <v>49</v>
      </c>
      <c r="V174" s="53">
        <v>36</v>
      </c>
    </row>
    <row r="175" spans="1:22" ht="10" customHeight="1" x14ac:dyDescent="0.25">
      <c r="A175" s="16">
        <v>174</v>
      </c>
      <c r="B175" s="126">
        <v>2026</v>
      </c>
      <c r="C175" s="128" t="s">
        <v>87</v>
      </c>
      <c r="D175" s="53" t="s">
        <v>55</v>
      </c>
      <c r="E175" s="53" t="s">
        <v>20</v>
      </c>
      <c r="F175" s="53" t="s">
        <v>1056</v>
      </c>
      <c r="G175" s="53" t="s">
        <v>34</v>
      </c>
      <c r="H175" s="53" t="s">
        <v>22</v>
      </c>
      <c r="I175" s="53" t="s">
        <v>23</v>
      </c>
      <c r="J175" s="53" t="s">
        <v>1057</v>
      </c>
      <c r="K175" s="53" t="s">
        <v>1035</v>
      </c>
      <c r="L175" s="141">
        <v>46206</v>
      </c>
      <c r="M175" s="67" t="s">
        <v>506</v>
      </c>
      <c r="N175" s="67" t="s">
        <v>48</v>
      </c>
      <c r="O175" s="67" t="s">
        <v>33</v>
      </c>
      <c r="P175" s="67"/>
      <c r="Q175" s="67" t="s">
        <v>1058</v>
      </c>
      <c r="R175" s="67" t="s">
        <v>47</v>
      </c>
      <c r="S175" s="67" t="s">
        <v>90</v>
      </c>
      <c r="T175" s="142">
        <v>223499.36</v>
      </c>
      <c r="U175" s="53" t="s">
        <v>70</v>
      </c>
      <c r="V175" s="53">
        <v>5</v>
      </c>
    </row>
    <row r="176" spans="1:22" ht="10" customHeight="1" x14ac:dyDescent="0.25">
      <c r="A176" s="16">
        <v>175</v>
      </c>
      <c r="B176" s="126">
        <v>2026</v>
      </c>
      <c r="C176" s="128" t="s">
        <v>87</v>
      </c>
      <c r="D176" s="53" t="s">
        <v>30</v>
      </c>
      <c r="E176" s="53" t="s">
        <v>565</v>
      </c>
      <c r="F176" s="53" t="s">
        <v>1059</v>
      </c>
      <c r="G176" s="53" t="s">
        <v>1044</v>
      </c>
      <c r="H176" s="53" t="s">
        <v>526</v>
      </c>
      <c r="I176" s="53" t="s">
        <v>62</v>
      </c>
      <c r="J176" s="53" t="s">
        <v>57</v>
      </c>
      <c r="K176" s="53" t="s">
        <v>58</v>
      </c>
      <c r="L176" s="141">
        <v>46233</v>
      </c>
      <c r="M176" s="67" t="s">
        <v>538</v>
      </c>
      <c r="N176" s="67" t="s">
        <v>538</v>
      </c>
      <c r="O176" s="67" t="s">
        <v>538</v>
      </c>
      <c r="P176" s="67"/>
      <c r="Q176" s="67"/>
      <c r="R176" s="67" t="s">
        <v>538</v>
      </c>
      <c r="S176" s="67" t="s">
        <v>41</v>
      </c>
      <c r="T176" s="142">
        <v>22950</v>
      </c>
      <c r="U176" s="53" t="s">
        <v>95</v>
      </c>
    </row>
    <row r="177" spans="1:22" ht="10" customHeight="1" x14ac:dyDescent="0.25">
      <c r="A177" s="16">
        <v>176</v>
      </c>
      <c r="B177" s="126">
        <v>2026</v>
      </c>
      <c r="C177" s="128" t="s">
        <v>681</v>
      </c>
      <c r="D177" s="53" t="s">
        <v>55</v>
      </c>
      <c r="E177" s="53" t="s">
        <v>1060</v>
      </c>
      <c r="F177" s="53" t="s">
        <v>1061</v>
      </c>
      <c r="G177" s="53" t="s">
        <v>39</v>
      </c>
      <c r="H177" s="53" t="s">
        <v>40</v>
      </c>
      <c r="I177" s="53" t="s">
        <v>23</v>
      </c>
      <c r="J177" s="53" t="s">
        <v>881</v>
      </c>
      <c r="K177" s="53" t="s">
        <v>58</v>
      </c>
      <c r="L177" s="141"/>
      <c r="M177" s="67" t="s">
        <v>46</v>
      </c>
      <c r="N177" s="67" t="s">
        <v>32</v>
      </c>
      <c r="O177" s="67" t="s">
        <v>538</v>
      </c>
      <c r="P177" s="67"/>
      <c r="Q177" s="67" t="s">
        <v>1062</v>
      </c>
      <c r="R177" s="67" t="s">
        <v>32</v>
      </c>
      <c r="S177" s="67" t="s">
        <v>54</v>
      </c>
      <c r="T177" s="142">
        <v>98440.5</v>
      </c>
      <c r="U177" s="53" t="s">
        <v>946</v>
      </c>
      <c r="V177" s="53">
        <v>12</v>
      </c>
    </row>
    <row r="178" spans="1:22" ht="10" customHeight="1" x14ac:dyDescent="0.25">
      <c r="A178" s="16">
        <v>177</v>
      </c>
      <c r="B178" s="126">
        <v>2026</v>
      </c>
      <c r="C178" s="128" t="s">
        <v>681</v>
      </c>
      <c r="D178" s="53" t="s">
        <v>83</v>
      </c>
      <c r="E178" s="53" t="s">
        <v>1063</v>
      </c>
      <c r="F178" s="53" t="s">
        <v>1064</v>
      </c>
      <c r="G178" s="53" t="s">
        <v>39</v>
      </c>
      <c r="H178" s="53" t="s">
        <v>44</v>
      </c>
      <c r="I178" s="53" t="s">
        <v>62</v>
      </c>
      <c r="J178" s="53" t="s">
        <v>1065</v>
      </c>
      <c r="K178" s="53" t="s">
        <v>85</v>
      </c>
      <c r="L178" s="141">
        <v>46218</v>
      </c>
      <c r="M178" s="67" t="s">
        <v>46</v>
      </c>
      <c r="N178" s="67" t="s">
        <v>43</v>
      </c>
      <c r="O178" s="67" t="s">
        <v>32</v>
      </c>
      <c r="P178" s="67"/>
      <c r="Q178" s="67" t="s">
        <v>1066</v>
      </c>
      <c r="R178" s="67" t="s">
        <v>538</v>
      </c>
      <c r="S178" s="67" t="s">
        <v>41</v>
      </c>
      <c r="T178" s="142">
        <v>49000</v>
      </c>
      <c r="U178" s="53" t="s">
        <v>98</v>
      </c>
    </row>
    <row r="179" spans="1:22" ht="10" customHeight="1" x14ac:dyDescent="0.25">
      <c r="A179" s="16">
        <v>178</v>
      </c>
      <c r="B179" s="126">
        <v>2026</v>
      </c>
      <c r="C179" s="128" t="s">
        <v>681</v>
      </c>
      <c r="D179" s="53" t="s">
        <v>55</v>
      </c>
      <c r="E179" s="53" t="s">
        <v>1067</v>
      </c>
      <c r="F179" s="53" t="s">
        <v>1068</v>
      </c>
      <c r="G179" s="53" t="s">
        <v>79</v>
      </c>
      <c r="H179" s="53" t="s">
        <v>526</v>
      </c>
      <c r="I179" s="53" t="s">
        <v>23</v>
      </c>
      <c r="J179" s="53" t="s">
        <v>1069</v>
      </c>
      <c r="K179" s="53" t="s">
        <v>77</v>
      </c>
      <c r="L179" s="141">
        <v>46234</v>
      </c>
      <c r="M179" s="67" t="s">
        <v>53</v>
      </c>
      <c r="N179" s="67"/>
      <c r="O179" s="67" t="s">
        <v>47</v>
      </c>
      <c r="P179" s="67"/>
      <c r="Q179" s="67"/>
      <c r="R179" s="67" t="s">
        <v>53</v>
      </c>
      <c r="S179" s="67" t="s">
        <v>52</v>
      </c>
      <c r="T179" s="142"/>
      <c r="U179" s="53" t="s">
        <v>49</v>
      </c>
      <c r="V179" s="53">
        <v>1</v>
      </c>
    </row>
    <row r="180" spans="1:22" ht="10" customHeight="1" x14ac:dyDescent="0.25">
      <c r="A180" s="16">
        <v>179</v>
      </c>
      <c r="B180" s="126">
        <v>2026</v>
      </c>
      <c r="C180" s="128" t="s">
        <v>681</v>
      </c>
      <c r="D180" s="53" t="s">
        <v>83</v>
      </c>
      <c r="E180" s="53" t="s">
        <v>1070</v>
      </c>
      <c r="F180" s="53" t="s">
        <v>1071</v>
      </c>
      <c r="G180" s="53" t="s">
        <v>79</v>
      </c>
      <c r="H180" s="53" t="s">
        <v>713</v>
      </c>
      <c r="I180" s="53" t="s">
        <v>23</v>
      </c>
      <c r="J180" s="53" t="s">
        <v>1072</v>
      </c>
      <c r="K180" s="53" t="s">
        <v>25</v>
      </c>
      <c r="L180" s="141">
        <v>46218</v>
      </c>
      <c r="M180" s="67" t="s">
        <v>53</v>
      </c>
      <c r="N180" s="67" t="s">
        <v>53</v>
      </c>
      <c r="O180" s="67" t="s">
        <v>32</v>
      </c>
      <c r="P180" s="67" t="s">
        <v>54</v>
      </c>
      <c r="Q180" s="67" t="s">
        <v>1073</v>
      </c>
      <c r="R180" s="67" t="s">
        <v>61</v>
      </c>
      <c r="S180" s="67" t="s">
        <v>43</v>
      </c>
      <c r="T180" s="142">
        <v>79814.28</v>
      </c>
      <c r="U180" s="53" t="s">
        <v>70</v>
      </c>
      <c r="V180" s="53">
        <v>6</v>
      </c>
    </row>
    <row r="181" spans="1:22" ht="10" customHeight="1" x14ac:dyDescent="0.25">
      <c r="A181" s="16">
        <v>180</v>
      </c>
      <c r="B181" s="126">
        <v>2026</v>
      </c>
      <c r="C181" s="128" t="s">
        <v>681</v>
      </c>
      <c r="D181" s="53" t="s">
        <v>83</v>
      </c>
      <c r="E181" s="53" t="s">
        <v>1070</v>
      </c>
      <c r="F181" s="53" t="s">
        <v>1074</v>
      </c>
      <c r="G181" s="53" t="s">
        <v>34</v>
      </c>
      <c r="H181" s="53" t="s">
        <v>80</v>
      </c>
      <c r="I181" s="53" t="s">
        <v>23</v>
      </c>
      <c r="J181" s="53" t="s">
        <v>1072</v>
      </c>
      <c r="K181" s="53" t="s">
        <v>25</v>
      </c>
      <c r="L181" s="141">
        <v>46214</v>
      </c>
      <c r="M181" s="67" t="s">
        <v>92</v>
      </c>
      <c r="N181" s="67" t="s">
        <v>60</v>
      </c>
      <c r="O181" s="67" t="s">
        <v>32</v>
      </c>
      <c r="P181" s="67"/>
      <c r="Q181" s="67" t="s">
        <v>1075</v>
      </c>
      <c r="R181" s="67" t="s">
        <v>36</v>
      </c>
      <c r="S181" s="67" t="s">
        <v>28</v>
      </c>
      <c r="T181" s="142">
        <v>64882.2</v>
      </c>
      <c r="U181" s="53" t="s">
        <v>49</v>
      </c>
      <c r="V181" s="53">
        <v>7</v>
      </c>
    </row>
    <row r="182" spans="1:22" ht="10" customHeight="1" x14ac:dyDescent="0.25">
      <c r="A182" s="16">
        <v>181</v>
      </c>
      <c r="B182" s="126">
        <v>2026</v>
      </c>
      <c r="C182" s="128" t="s">
        <v>681</v>
      </c>
      <c r="D182" s="53" t="s">
        <v>83</v>
      </c>
      <c r="E182" s="53" t="s">
        <v>941</v>
      </c>
      <c r="F182" s="53" t="s">
        <v>1076</v>
      </c>
      <c r="G182" s="53" t="s">
        <v>612</v>
      </c>
      <c r="H182" s="53" t="s">
        <v>44</v>
      </c>
      <c r="I182" s="53" t="s">
        <v>23</v>
      </c>
      <c r="J182" s="53" t="s">
        <v>24</v>
      </c>
      <c r="K182" s="53" t="s">
        <v>58</v>
      </c>
      <c r="L182" s="141">
        <v>46211</v>
      </c>
      <c r="M182" s="67" t="s">
        <v>621</v>
      </c>
      <c r="N182" s="67" t="s">
        <v>65</v>
      </c>
      <c r="O182" s="67" t="s">
        <v>89</v>
      </c>
      <c r="P182" s="67"/>
      <c r="Q182" s="67" t="s">
        <v>1077</v>
      </c>
      <c r="R182" s="67" t="s">
        <v>36</v>
      </c>
      <c r="S182" s="67" t="s">
        <v>37</v>
      </c>
      <c r="T182" s="142">
        <v>288764</v>
      </c>
      <c r="U182" s="53" t="s">
        <v>70</v>
      </c>
      <c r="V182" s="53">
        <v>9</v>
      </c>
    </row>
    <row r="183" spans="1:22" ht="10" customHeight="1" x14ac:dyDescent="0.25">
      <c r="A183" s="16">
        <v>182</v>
      </c>
      <c r="B183" s="126">
        <v>2026</v>
      </c>
      <c r="C183" s="128" t="s">
        <v>681</v>
      </c>
      <c r="D183" s="53" t="s">
        <v>30</v>
      </c>
      <c r="E183" s="53" t="s">
        <v>123</v>
      </c>
      <c r="F183" s="53" t="s">
        <v>1078</v>
      </c>
      <c r="G183" s="53" t="s">
        <v>612</v>
      </c>
      <c r="H183" s="53" t="s">
        <v>80</v>
      </c>
      <c r="I183" s="53" t="s">
        <v>23</v>
      </c>
      <c r="J183" s="53" t="s">
        <v>24</v>
      </c>
      <c r="K183" s="53" t="s">
        <v>58</v>
      </c>
      <c r="L183" s="141">
        <v>46230</v>
      </c>
      <c r="M183" s="67" t="s">
        <v>32</v>
      </c>
      <c r="N183" s="67" t="s">
        <v>36</v>
      </c>
      <c r="O183" s="67" t="s">
        <v>109</v>
      </c>
      <c r="P183" s="67"/>
      <c r="Q183" s="67"/>
      <c r="R183" s="67" t="s">
        <v>48</v>
      </c>
      <c r="S183" s="67" t="s">
        <v>113</v>
      </c>
      <c r="T183" s="142">
        <v>78785.63</v>
      </c>
      <c r="U183" s="53" t="s">
        <v>49</v>
      </c>
      <c r="V183" s="53">
        <v>6</v>
      </c>
    </row>
    <row r="184" spans="1:22" ht="10" customHeight="1" x14ac:dyDescent="0.25">
      <c r="A184" s="16">
        <v>183</v>
      </c>
      <c r="B184" s="126">
        <v>2026</v>
      </c>
      <c r="C184" s="128" t="s">
        <v>681</v>
      </c>
      <c r="D184" s="53" t="s">
        <v>959</v>
      </c>
      <c r="E184" s="53" t="s">
        <v>960</v>
      </c>
      <c r="F184" s="53" t="s">
        <v>961</v>
      </c>
      <c r="G184" s="53" t="s">
        <v>943</v>
      </c>
      <c r="H184" s="53" t="s">
        <v>80</v>
      </c>
      <c r="I184" s="53" t="s">
        <v>23</v>
      </c>
      <c r="J184" s="53" t="s">
        <v>106</v>
      </c>
      <c r="K184" s="53" t="s">
        <v>1079</v>
      </c>
      <c r="L184" s="141" t="s">
        <v>1080</v>
      </c>
      <c r="M184" s="67" t="s">
        <v>1080</v>
      </c>
      <c r="N184" s="67" t="s">
        <v>1080</v>
      </c>
      <c r="O184" s="67" t="s">
        <v>1080</v>
      </c>
      <c r="P184" s="67" t="s">
        <v>1080</v>
      </c>
      <c r="Q184" s="67" t="s">
        <v>1080</v>
      </c>
      <c r="R184" s="67" t="s">
        <v>1080</v>
      </c>
      <c r="S184" s="67" t="s">
        <v>1080</v>
      </c>
      <c r="T184" s="142" t="s">
        <v>1080</v>
      </c>
      <c r="U184" s="53" t="s">
        <v>38</v>
      </c>
      <c r="V184" s="53" t="s">
        <v>1080</v>
      </c>
    </row>
    <row r="185" spans="1:22" ht="10" customHeight="1" x14ac:dyDescent="0.25">
      <c r="A185" s="16">
        <v>184</v>
      </c>
      <c r="B185" s="126">
        <v>2026</v>
      </c>
      <c r="C185" s="128" t="s">
        <v>681</v>
      </c>
      <c r="D185" s="53" t="s">
        <v>63</v>
      </c>
      <c r="E185" s="53" t="s">
        <v>1002</v>
      </c>
      <c r="F185" s="53" t="s">
        <v>1081</v>
      </c>
      <c r="G185" s="53" t="s">
        <v>590</v>
      </c>
      <c r="H185" s="53" t="s">
        <v>526</v>
      </c>
      <c r="I185" s="53" t="s">
        <v>23</v>
      </c>
      <c r="J185" s="53" t="s">
        <v>106</v>
      </c>
      <c r="K185" s="53" t="s">
        <v>58</v>
      </c>
      <c r="L185" s="141">
        <v>46246</v>
      </c>
      <c r="M185" s="67" t="s">
        <v>46</v>
      </c>
      <c r="N185" s="67" t="s">
        <v>28</v>
      </c>
      <c r="O185" s="67" t="s">
        <v>47</v>
      </c>
      <c r="P185" s="67" t="s">
        <v>109</v>
      </c>
      <c r="Q185" s="67" t="s">
        <v>1080</v>
      </c>
      <c r="R185" s="67" t="s">
        <v>962</v>
      </c>
      <c r="S185" s="67" t="s">
        <v>78</v>
      </c>
      <c r="T185" s="142">
        <f>93683.95</f>
        <v>93683.95</v>
      </c>
      <c r="U185" s="53" t="s">
        <v>49</v>
      </c>
      <c r="V185" s="53">
        <v>4</v>
      </c>
    </row>
    <row r="186" spans="1:22" ht="10" customHeight="1" x14ac:dyDescent="0.25">
      <c r="A186" s="16">
        <v>185</v>
      </c>
      <c r="B186" s="126">
        <v>2026</v>
      </c>
      <c r="C186" s="128" t="s">
        <v>681</v>
      </c>
      <c r="D186" s="53" t="s">
        <v>55</v>
      </c>
      <c r="E186" s="53" t="s">
        <v>1067</v>
      </c>
      <c r="F186" s="53" t="s">
        <v>1082</v>
      </c>
      <c r="G186" s="53" t="s">
        <v>34</v>
      </c>
      <c r="H186" s="53" t="s">
        <v>40</v>
      </c>
      <c r="I186" s="53" t="s">
        <v>23</v>
      </c>
      <c r="J186" s="53" t="s">
        <v>1083</v>
      </c>
      <c r="K186" s="53" t="s">
        <v>58</v>
      </c>
      <c r="L186" s="141">
        <v>46203</v>
      </c>
      <c r="M186" s="67" t="s">
        <v>53</v>
      </c>
      <c r="N186" s="67" t="s">
        <v>60</v>
      </c>
      <c r="O186" s="67" t="s">
        <v>61</v>
      </c>
      <c r="P186" s="67"/>
      <c r="Q186" s="67"/>
      <c r="R186" s="67" t="s">
        <v>61</v>
      </c>
      <c r="S186" s="67" t="s">
        <v>52</v>
      </c>
      <c r="T186" s="142">
        <v>40000</v>
      </c>
      <c r="U186" s="53" t="s">
        <v>70</v>
      </c>
    </row>
    <row r="187" spans="1:22" ht="10" customHeight="1" x14ac:dyDescent="0.25">
      <c r="A187" s="16">
        <v>186</v>
      </c>
      <c r="B187" s="126">
        <v>2026</v>
      </c>
      <c r="C187" s="128" t="s">
        <v>681</v>
      </c>
      <c r="D187" s="53" t="s">
        <v>63</v>
      </c>
      <c r="E187" s="53" t="s">
        <v>1002</v>
      </c>
      <c r="F187" s="53" t="s">
        <v>1084</v>
      </c>
      <c r="G187" s="53" t="s">
        <v>590</v>
      </c>
      <c r="H187" s="53" t="s">
        <v>526</v>
      </c>
      <c r="I187" s="53" t="s">
        <v>23</v>
      </c>
      <c r="J187" s="53" t="s">
        <v>106</v>
      </c>
      <c r="K187" s="53" t="s">
        <v>58</v>
      </c>
      <c r="L187" s="141">
        <v>46248</v>
      </c>
      <c r="M187" s="67" t="s">
        <v>962</v>
      </c>
      <c r="N187" s="67" t="s">
        <v>962</v>
      </c>
      <c r="O187" s="67" t="s">
        <v>36</v>
      </c>
      <c r="P187" s="67" t="s">
        <v>109</v>
      </c>
      <c r="Q187" s="67"/>
      <c r="R187" s="67" t="s">
        <v>962</v>
      </c>
      <c r="S187" s="67" t="s">
        <v>78</v>
      </c>
      <c r="T187" s="142">
        <v>43859.6</v>
      </c>
      <c r="U187" s="53" t="s">
        <v>946</v>
      </c>
      <c r="V187" s="53">
        <v>4</v>
      </c>
    </row>
    <row r="188" spans="1:22" ht="10" customHeight="1" x14ac:dyDescent="0.25">
      <c r="A188" s="16">
        <v>187</v>
      </c>
      <c r="B188" s="126">
        <v>2026</v>
      </c>
      <c r="C188" s="128" t="s">
        <v>681</v>
      </c>
      <c r="D188" s="53" t="s">
        <v>55</v>
      </c>
      <c r="E188" s="53" t="s">
        <v>1085</v>
      </c>
      <c r="F188" s="53" t="s">
        <v>1086</v>
      </c>
      <c r="G188" s="53" t="s">
        <v>1044</v>
      </c>
      <c r="H188" s="53" t="s">
        <v>22</v>
      </c>
      <c r="I188" s="53" t="s">
        <v>23</v>
      </c>
      <c r="J188" s="53" t="s">
        <v>1087</v>
      </c>
      <c r="K188" s="53" t="s">
        <v>85</v>
      </c>
      <c r="L188" s="141">
        <v>46251</v>
      </c>
      <c r="M188" s="67" t="s">
        <v>53</v>
      </c>
      <c r="N188" s="67"/>
      <c r="O188" s="67" t="s">
        <v>538</v>
      </c>
      <c r="P188" s="67" t="s">
        <v>538</v>
      </c>
      <c r="Q188" s="67" t="s">
        <v>26</v>
      </c>
      <c r="R188" s="67" t="s">
        <v>538</v>
      </c>
      <c r="S188" s="67" t="s">
        <v>41</v>
      </c>
      <c r="T188" s="142"/>
      <c r="U188" s="53" t="s">
        <v>49</v>
      </c>
    </row>
    <row r="189" spans="1:22" ht="10" customHeight="1" x14ac:dyDescent="0.25">
      <c r="A189" s="16">
        <v>188</v>
      </c>
      <c r="B189" s="126">
        <v>2026</v>
      </c>
      <c r="C189" s="128" t="s">
        <v>681</v>
      </c>
      <c r="D189" s="53" t="s">
        <v>55</v>
      </c>
      <c r="E189" s="53" t="s">
        <v>623</v>
      </c>
      <c r="F189" s="53" t="s">
        <v>1088</v>
      </c>
      <c r="G189" s="53" t="s">
        <v>50</v>
      </c>
      <c r="H189" s="53" t="s">
        <v>51</v>
      </c>
      <c r="I189" s="53" t="s">
        <v>62</v>
      </c>
      <c r="J189" s="53" t="s">
        <v>1089</v>
      </c>
      <c r="K189" s="53" t="s">
        <v>77</v>
      </c>
      <c r="L189" s="141">
        <v>46258</v>
      </c>
      <c r="M189" s="67" t="s">
        <v>962</v>
      </c>
      <c r="N189" s="67" t="s">
        <v>78</v>
      </c>
      <c r="O189" s="67" t="s">
        <v>47</v>
      </c>
      <c r="P189" s="67"/>
      <c r="Q189" s="67"/>
      <c r="R189" s="67" t="s">
        <v>53</v>
      </c>
      <c r="S189" s="67" t="s">
        <v>52</v>
      </c>
      <c r="T189" s="142"/>
      <c r="U189" s="53" t="s">
        <v>95</v>
      </c>
      <c r="V189" s="53">
        <v>12</v>
      </c>
    </row>
    <row r="190" spans="1:22" ht="10" customHeight="1" x14ac:dyDescent="0.25">
      <c r="A190" s="16">
        <v>189</v>
      </c>
      <c r="B190" s="126">
        <v>2026</v>
      </c>
      <c r="C190" s="128" t="s">
        <v>681</v>
      </c>
      <c r="D190" s="53" t="s">
        <v>55</v>
      </c>
      <c r="E190" s="53" t="s">
        <v>99</v>
      </c>
      <c r="F190" s="53" t="s">
        <v>1090</v>
      </c>
      <c r="G190" s="53" t="s">
        <v>612</v>
      </c>
      <c r="H190" s="53" t="s">
        <v>22</v>
      </c>
      <c r="I190" s="53" t="s">
        <v>23</v>
      </c>
      <c r="J190" s="53" t="s">
        <v>1091</v>
      </c>
      <c r="K190" s="53" t="s">
        <v>77</v>
      </c>
      <c r="L190" s="141">
        <v>46255</v>
      </c>
      <c r="M190" s="67" t="s">
        <v>962</v>
      </c>
      <c r="N190" s="67" t="s">
        <v>53</v>
      </c>
      <c r="O190" s="67" t="s">
        <v>89</v>
      </c>
      <c r="P190" s="67" t="s">
        <v>113</v>
      </c>
      <c r="Q190" s="67"/>
      <c r="R190" s="67" t="s">
        <v>53</v>
      </c>
      <c r="S190" s="67" t="s">
        <v>78</v>
      </c>
      <c r="T190" s="142">
        <v>142928.44</v>
      </c>
      <c r="U190" s="53" t="s">
        <v>49</v>
      </c>
      <c r="V190" s="53">
        <v>7</v>
      </c>
    </row>
    <row r="191" spans="1:22" ht="10" customHeight="1" x14ac:dyDescent="0.25">
      <c r="A191" s="16">
        <v>190</v>
      </c>
      <c r="B191" s="126">
        <v>2026</v>
      </c>
      <c r="C191" s="128" t="s">
        <v>681</v>
      </c>
      <c r="D191" s="53" t="s">
        <v>55</v>
      </c>
      <c r="E191" s="53" t="s">
        <v>1092</v>
      </c>
      <c r="F191" s="53" t="s">
        <v>1093</v>
      </c>
      <c r="G191" s="53" t="s">
        <v>34</v>
      </c>
      <c r="H191" s="53" t="s">
        <v>44</v>
      </c>
      <c r="I191" s="53" t="s">
        <v>23</v>
      </c>
      <c r="J191" s="53" t="s">
        <v>701</v>
      </c>
      <c r="K191" s="53" t="s">
        <v>58</v>
      </c>
      <c r="L191" s="141">
        <v>46248</v>
      </c>
      <c r="M191" s="67" t="s">
        <v>61</v>
      </c>
      <c r="N191" s="67" t="s">
        <v>109</v>
      </c>
      <c r="O191" s="67" t="s">
        <v>109</v>
      </c>
      <c r="P191" s="67" t="s">
        <v>61</v>
      </c>
      <c r="Q191" s="67"/>
      <c r="R191" s="67" t="s">
        <v>61</v>
      </c>
      <c r="S191" s="67" t="s">
        <v>43</v>
      </c>
      <c r="T191" s="142">
        <v>509305</v>
      </c>
      <c r="U191" s="53" t="s">
        <v>49</v>
      </c>
      <c r="V191" s="53">
        <v>10</v>
      </c>
    </row>
    <row r="192" spans="1:22" ht="10" customHeight="1" x14ac:dyDescent="0.25">
      <c r="A192" s="16">
        <v>191</v>
      </c>
      <c r="B192" s="126">
        <v>2026</v>
      </c>
      <c r="C192" s="128" t="s">
        <v>681</v>
      </c>
      <c r="D192" s="53" t="s">
        <v>55</v>
      </c>
      <c r="E192" s="53" t="s">
        <v>73</v>
      </c>
      <c r="F192" s="53" t="s">
        <v>1094</v>
      </c>
      <c r="G192" s="53" t="s">
        <v>34</v>
      </c>
      <c r="H192" s="53" t="s">
        <v>51</v>
      </c>
      <c r="I192" s="53" t="s">
        <v>23</v>
      </c>
      <c r="J192" s="53" t="s">
        <v>701</v>
      </c>
      <c r="K192" s="53" t="s">
        <v>25</v>
      </c>
      <c r="L192" s="141">
        <v>46265</v>
      </c>
      <c r="M192" s="67" t="s">
        <v>47</v>
      </c>
      <c r="N192" s="67" t="s">
        <v>47</v>
      </c>
      <c r="O192" s="67" t="s">
        <v>523</v>
      </c>
      <c r="P192" s="67"/>
      <c r="Q192" s="67"/>
      <c r="R192" s="67" t="s">
        <v>962</v>
      </c>
      <c r="S192" s="67" t="s">
        <v>78</v>
      </c>
      <c r="T192" s="142">
        <v>106553.25</v>
      </c>
      <c r="U192" s="53" t="s">
        <v>49</v>
      </c>
      <c r="V192" s="53">
        <v>4</v>
      </c>
    </row>
    <row r="193" spans="1:22" ht="10" customHeight="1" x14ac:dyDescent="0.25">
      <c r="A193" s="16">
        <v>192</v>
      </c>
      <c r="B193" s="126">
        <v>2026</v>
      </c>
      <c r="C193" s="128" t="s">
        <v>681</v>
      </c>
      <c r="D193" s="53" t="s">
        <v>55</v>
      </c>
      <c r="E193" s="53" t="s">
        <v>73</v>
      </c>
      <c r="F193" s="53" t="s">
        <v>1095</v>
      </c>
      <c r="G193" s="53" t="s">
        <v>79</v>
      </c>
      <c r="H193" s="53" t="s">
        <v>526</v>
      </c>
      <c r="I193" s="53" t="s">
        <v>23</v>
      </c>
      <c r="J193" s="53" t="s">
        <v>1042</v>
      </c>
      <c r="K193" s="53" t="s">
        <v>25</v>
      </c>
      <c r="L193" s="141">
        <v>46258</v>
      </c>
      <c r="M193" s="67" t="s">
        <v>78</v>
      </c>
      <c r="N193" s="67" t="s">
        <v>523</v>
      </c>
      <c r="O193" s="67" t="s">
        <v>523</v>
      </c>
      <c r="P193" s="67" t="s">
        <v>78</v>
      </c>
      <c r="Q193" s="67" t="s">
        <v>167</v>
      </c>
      <c r="R193" s="67" t="s">
        <v>78</v>
      </c>
      <c r="S193" s="67" t="s">
        <v>41</v>
      </c>
      <c r="T193" s="142">
        <f>75000.47</f>
        <v>75000.47</v>
      </c>
      <c r="U193" s="53" t="s">
        <v>49</v>
      </c>
      <c r="V193" s="53">
        <v>4</v>
      </c>
    </row>
    <row r="194" spans="1:22" ht="10" customHeight="1" x14ac:dyDescent="0.25">
      <c r="A194" s="16">
        <v>193</v>
      </c>
      <c r="B194" s="126">
        <v>2026</v>
      </c>
      <c r="C194" s="128" t="s">
        <v>681</v>
      </c>
      <c r="D194" s="53" t="s">
        <v>83</v>
      </c>
      <c r="E194" s="53" t="s">
        <v>1096</v>
      </c>
      <c r="F194" s="53" t="s">
        <v>1097</v>
      </c>
      <c r="G194" s="53" t="s">
        <v>39</v>
      </c>
      <c r="H194" s="53" t="s">
        <v>567</v>
      </c>
      <c r="I194" s="53" t="s">
        <v>104</v>
      </c>
      <c r="J194" s="53" t="s">
        <v>1098</v>
      </c>
      <c r="K194" s="53" t="s">
        <v>25</v>
      </c>
      <c r="L194" s="141">
        <v>46265</v>
      </c>
      <c r="M194" s="67" t="s">
        <v>538</v>
      </c>
      <c r="N194" s="67" t="s">
        <v>43</v>
      </c>
      <c r="O194" s="67" t="s">
        <v>538</v>
      </c>
      <c r="P194" s="67"/>
      <c r="Q194" s="67" t="s">
        <v>568</v>
      </c>
      <c r="R194" s="67" t="s">
        <v>538</v>
      </c>
      <c r="S194" s="67" t="s">
        <v>52</v>
      </c>
      <c r="T194" s="142">
        <v>53445</v>
      </c>
      <c r="U194" s="53" t="s">
        <v>49</v>
      </c>
    </row>
    <row r="195" spans="1:22" ht="10" customHeight="1" x14ac:dyDescent="0.25">
      <c r="A195" s="16">
        <v>194</v>
      </c>
      <c r="B195" s="126">
        <v>2026</v>
      </c>
      <c r="C195" s="128" t="s">
        <v>681</v>
      </c>
      <c r="D195" s="53" t="s">
        <v>55</v>
      </c>
      <c r="E195" s="53" t="s">
        <v>543</v>
      </c>
      <c r="F195" s="53" t="s">
        <v>1099</v>
      </c>
      <c r="G195" s="53" t="s">
        <v>56</v>
      </c>
      <c r="H195" s="53" t="s">
        <v>80</v>
      </c>
      <c r="I195" s="53" t="s">
        <v>23</v>
      </c>
      <c r="J195" s="53" t="s">
        <v>106</v>
      </c>
      <c r="K195" s="53" t="s">
        <v>58</v>
      </c>
      <c r="L195" s="141">
        <v>46262</v>
      </c>
      <c r="M195" s="67"/>
      <c r="N195" s="67" t="s">
        <v>78</v>
      </c>
      <c r="O195" s="67" t="s">
        <v>53</v>
      </c>
      <c r="P195" s="67"/>
      <c r="Q195" s="67"/>
      <c r="R195" s="67" t="s">
        <v>53</v>
      </c>
      <c r="S195" s="67" t="s">
        <v>113</v>
      </c>
      <c r="T195" s="142">
        <f>81331.91/0.86</f>
        <v>94571.988372093023</v>
      </c>
      <c r="U195" s="53" t="s">
        <v>49</v>
      </c>
    </row>
    <row r="196" spans="1:22" ht="10" customHeight="1" x14ac:dyDescent="0.25">
      <c r="A196" s="16">
        <v>195</v>
      </c>
      <c r="B196" s="126">
        <v>2026</v>
      </c>
      <c r="C196" s="128" t="s">
        <v>681</v>
      </c>
      <c r="D196" s="53" t="s">
        <v>55</v>
      </c>
      <c r="E196" s="53" t="s">
        <v>99</v>
      </c>
      <c r="F196" s="53" t="s">
        <v>1100</v>
      </c>
      <c r="G196" s="53" t="s">
        <v>56</v>
      </c>
      <c r="H196" s="53" t="s">
        <v>80</v>
      </c>
      <c r="I196" s="53" t="s">
        <v>23</v>
      </c>
      <c r="J196" s="53" t="s">
        <v>24</v>
      </c>
      <c r="K196" s="53" t="s">
        <v>85</v>
      </c>
      <c r="L196" s="141">
        <v>46272</v>
      </c>
      <c r="M196" s="67" t="s">
        <v>47</v>
      </c>
      <c r="N196" s="67" t="s">
        <v>36</v>
      </c>
      <c r="O196" s="67"/>
      <c r="P196" s="67"/>
      <c r="Q196" s="67" t="s">
        <v>539</v>
      </c>
      <c r="R196" s="67" t="s">
        <v>47</v>
      </c>
      <c r="S196" s="67" t="s">
        <v>28</v>
      </c>
      <c r="T196" s="142">
        <v>1299935</v>
      </c>
      <c r="U196" s="53" t="s">
        <v>49</v>
      </c>
      <c r="V196" s="53">
        <v>19</v>
      </c>
    </row>
    <row r="197" spans="1:22" ht="10" customHeight="1" x14ac:dyDescent="0.25">
      <c r="A197" s="16">
        <v>196</v>
      </c>
      <c r="B197" s="126">
        <v>2026</v>
      </c>
      <c r="C197" s="128" t="s">
        <v>681</v>
      </c>
      <c r="D197" s="53" t="s">
        <v>55</v>
      </c>
      <c r="E197" s="53" t="s">
        <v>1067</v>
      </c>
      <c r="F197" s="53" t="s">
        <v>1101</v>
      </c>
      <c r="G197" s="53" t="s">
        <v>50</v>
      </c>
      <c r="H197" s="53" t="s">
        <v>22</v>
      </c>
      <c r="I197" s="53" t="s">
        <v>23</v>
      </c>
      <c r="J197" s="53" t="s">
        <v>1102</v>
      </c>
      <c r="K197" s="53" t="s">
        <v>1035</v>
      </c>
      <c r="L197" s="141">
        <v>46289</v>
      </c>
      <c r="M197" s="67" t="s">
        <v>47</v>
      </c>
      <c r="N197" s="67" t="s">
        <v>36</v>
      </c>
      <c r="O197" s="67" t="s">
        <v>92</v>
      </c>
      <c r="P197" s="67"/>
      <c r="Q197" s="67"/>
      <c r="R197" s="67" t="s">
        <v>36</v>
      </c>
      <c r="S197" s="67" t="s">
        <v>28</v>
      </c>
      <c r="T197" s="142">
        <v>300000</v>
      </c>
      <c r="U197" s="53" t="s">
        <v>95</v>
      </c>
    </row>
    <row r="198" spans="1:22" ht="10" customHeight="1" x14ac:dyDescent="0.25">
      <c r="A198" s="16">
        <v>197</v>
      </c>
      <c r="B198" s="126">
        <v>2026</v>
      </c>
      <c r="C198" s="128" t="s">
        <v>681</v>
      </c>
      <c r="D198" s="53" t="s">
        <v>55</v>
      </c>
      <c r="E198" s="53" t="s">
        <v>20</v>
      </c>
      <c r="F198" s="53" t="s">
        <v>1103</v>
      </c>
      <c r="L198" s="141"/>
      <c r="M198" s="67"/>
      <c r="N198" s="67"/>
      <c r="O198" s="67"/>
      <c r="P198" s="67"/>
      <c r="Q198" s="67"/>
      <c r="R198" s="67"/>
      <c r="S198" s="67"/>
      <c r="T198" s="142"/>
    </row>
    <row r="199" spans="1:22" ht="10" customHeight="1" x14ac:dyDescent="0.25">
      <c r="A199" s="16">
        <v>198</v>
      </c>
      <c r="B199" s="126">
        <v>2026</v>
      </c>
      <c r="C199" s="128" t="s">
        <v>681</v>
      </c>
      <c r="D199" s="53" t="s">
        <v>55</v>
      </c>
      <c r="E199" s="53" t="s">
        <v>528</v>
      </c>
      <c r="F199" s="53" t="s">
        <v>1104</v>
      </c>
      <c r="G199" s="53" t="s">
        <v>74</v>
      </c>
      <c r="H199" s="53" t="s">
        <v>526</v>
      </c>
      <c r="I199" s="53" t="s">
        <v>23</v>
      </c>
      <c r="J199" s="53" t="s">
        <v>57</v>
      </c>
      <c r="K199" s="53" t="s">
        <v>58</v>
      </c>
      <c r="L199" s="141">
        <v>46283</v>
      </c>
      <c r="M199" s="67" t="s">
        <v>36</v>
      </c>
      <c r="N199" s="67" t="s">
        <v>36</v>
      </c>
      <c r="O199" s="67" t="s">
        <v>109</v>
      </c>
      <c r="P199" s="67"/>
      <c r="Q199" s="67" t="s">
        <v>361</v>
      </c>
      <c r="R199" s="67" t="s">
        <v>92</v>
      </c>
      <c r="S199" s="67" t="s">
        <v>28</v>
      </c>
      <c r="T199" s="142">
        <v>39505</v>
      </c>
      <c r="U199" s="53" t="s">
        <v>49</v>
      </c>
      <c r="V199" s="53">
        <v>4</v>
      </c>
    </row>
    <row r="200" spans="1:22" ht="10" customHeight="1" x14ac:dyDescent="0.25">
      <c r="A200" s="16">
        <v>199</v>
      </c>
      <c r="B200" s="126">
        <v>2026</v>
      </c>
      <c r="C200" s="128" t="s">
        <v>681</v>
      </c>
      <c r="D200" s="53" t="s">
        <v>63</v>
      </c>
      <c r="E200" s="53" t="s">
        <v>1105</v>
      </c>
      <c r="F200" s="53" t="s">
        <v>1106</v>
      </c>
      <c r="G200" s="53" t="s">
        <v>39</v>
      </c>
      <c r="H200" s="53" t="s">
        <v>40</v>
      </c>
      <c r="I200" s="53" t="s">
        <v>23</v>
      </c>
      <c r="J200" s="53" t="s">
        <v>24</v>
      </c>
      <c r="K200" s="53" t="s">
        <v>85</v>
      </c>
      <c r="L200" s="141">
        <v>46290</v>
      </c>
      <c r="M200" s="67" t="s">
        <v>538</v>
      </c>
      <c r="N200" s="67" t="s">
        <v>538</v>
      </c>
      <c r="O200" s="67" t="s">
        <v>43</v>
      </c>
      <c r="P200" s="67" t="s">
        <v>538</v>
      </c>
      <c r="Q200" s="67" t="s">
        <v>1107</v>
      </c>
      <c r="R200" s="67" t="s">
        <v>538</v>
      </c>
      <c r="S200" s="67" t="s">
        <v>54</v>
      </c>
      <c r="T200" s="142">
        <v>1003000</v>
      </c>
      <c r="U200" s="53" t="s">
        <v>49</v>
      </c>
      <c r="V200" s="53">
        <v>24</v>
      </c>
    </row>
    <row r="201" spans="1:22" ht="10" customHeight="1" x14ac:dyDescent="0.25">
      <c r="A201" s="16">
        <v>200</v>
      </c>
      <c r="B201" s="126">
        <v>2026</v>
      </c>
      <c r="C201" s="128" t="s">
        <v>681</v>
      </c>
      <c r="D201" s="53" t="s">
        <v>83</v>
      </c>
      <c r="E201" s="53" t="s">
        <v>1070</v>
      </c>
      <c r="F201" s="53" t="s">
        <v>1108</v>
      </c>
      <c r="G201" s="53" t="s">
        <v>74</v>
      </c>
      <c r="H201" s="53" t="s">
        <v>40</v>
      </c>
      <c r="I201" s="53" t="s">
        <v>23</v>
      </c>
      <c r="J201" s="53" t="s">
        <v>106</v>
      </c>
      <c r="K201" s="53" t="s">
        <v>25</v>
      </c>
      <c r="L201" s="141">
        <v>46296</v>
      </c>
      <c r="M201" s="67" t="s">
        <v>962</v>
      </c>
      <c r="N201" s="67" t="s">
        <v>523</v>
      </c>
      <c r="O201" s="67" t="s">
        <v>47</v>
      </c>
      <c r="P201" s="67"/>
      <c r="Q201" s="67"/>
      <c r="R201" s="67" t="s">
        <v>962</v>
      </c>
      <c r="S201" s="67" t="s">
        <v>523</v>
      </c>
      <c r="T201" s="142">
        <v>25000</v>
      </c>
      <c r="U201" s="53" t="s">
        <v>95</v>
      </c>
      <c r="V201" s="53">
        <v>3</v>
      </c>
    </row>
    <row r="202" spans="1:22" ht="10" customHeight="1" x14ac:dyDescent="0.25">
      <c r="A202" s="16"/>
    </row>
    <row r="203" spans="1:22" ht="10" customHeight="1" x14ac:dyDescent="0.25">
      <c r="A203" s="16"/>
    </row>
    <row r="204" spans="1:22" ht="10" customHeight="1" x14ac:dyDescent="0.25">
      <c r="A204" s="16"/>
    </row>
    <row r="205" spans="1:22" ht="10" customHeight="1" x14ac:dyDescent="0.25">
      <c r="A205" s="16"/>
    </row>
    <row r="206" spans="1:22" ht="10" customHeight="1" x14ac:dyDescent="0.25">
      <c r="A206" s="16"/>
    </row>
    <row r="207" spans="1:22" ht="10" customHeight="1" x14ac:dyDescent="0.25">
      <c r="A207" s="16"/>
    </row>
    <row r="208" spans="1:22" ht="10" customHeight="1" x14ac:dyDescent="0.25">
      <c r="A208" s="16"/>
    </row>
    <row r="209" spans="1:1" ht="10" customHeight="1" x14ac:dyDescent="0.25">
      <c r="A209" s="16"/>
    </row>
    <row r="210" spans="1:1" ht="10" customHeight="1" x14ac:dyDescent="0.25">
      <c r="A210" s="16"/>
    </row>
    <row r="211" spans="1:1" ht="10" customHeight="1" x14ac:dyDescent="0.25">
      <c r="A211" s="16"/>
    </row>
    <row r="212" spans="1:1" ht="10" customHeight="1" x14ac:dyDescent="0.25">
      <c r="A212" s="16"/>
    </row>
    <row r="213" spans="1:1" ht="10" customHeight="1" x14ac:dyDescent="0.25">
      <c r="A213" s="16"/>
    </row>
    <row r="214" spans="1:1" ht="10" customHeight="1" x14ac:dyDescent="0.25">
      <c r="A214" s="16"/>
    </row>
    <row r="215" spans="1:1" ht="10" customHeight="1" x14ac:dyDescent="0.25">
      <c r="A215" s="16"/>
    </row>
    <row r="216" spans="1:1" ht="10" customHeight="1" x14ac:dyDescent="0.25">
      <c r="A216" s="16"/>
    </row>
    <row r="217" spans="1:1" ht="10" customHeight="1" x14ac:dyDescent="0.25">
      <c r="A217" s="16"/>
    </row>
  </sheetData>
  <autoFilter ref="A1:W296" xr:uid="{7F7F4377-AB0D-4AD1-9A42-D0995505B602}"/>
  <phoneticPr fontId="42" type="noConversion"/>
  <dataValidations count="9">
    <dataValidation type="date" allowBlank="1" showInputMessage="1" showErrorMessage="1" sqref="L97:L158 M159:M161 U159:U161 L186:L1048576 L162:L176 L178:L183" xr:uid="{7C384ADE-763A-4BD1-83BF-4E824E178031}">
      <formula1>46023</formula1>
      <formula2>46387</formula2>
    </dataValidation>
    <dataValidation type="decimal" allowBlank="1" showInputMessage="1" showErrorMessage="1" promptTitle="Hint" prompt="Its should be between $10,000 &amp; $2,000,000" sqref="T97:T128 T130:T139" xr:uid="{51954289-ACB0-454F-99F1-DE0415916F7B}">
      <formula1>10000</formula1>
      <formula2>3000000</formula2>
    </dataValidation>
    <dataValidation type="date" allowBlank="1" showInputMessage="1" showErrorMessage="1" sqref="V1" xr:uid="{72E2280F-23D7-487F-A41B-1870D5AE2700}">
      <formula1>46023</formula1>
      <formula2>46034</formula2>
    </dataValidation>
    <dataValidation type="whole" allowBlank="1" showInputMessage="1" showErrorMessage="1" promptTitle="Hint" prompt="It should be in months" sqref="V97:V139 V2:V42 V47:V49" xr:uid="{15211EFD-2049-40DA-B54C-BAC6674745A7}">
      <formula1>1</formula1>
      <formula2>60</formula2>
    </dataValidation>
    <dataValidation type="textLength" allowBlank="1" showInputMessage="1" showErrorMessage="1" promptTitle="Hint" prompt="Kindly start will a capital letter for each country followed by small letters and separate with a comma if many countries are covered. " sqref="J97:J136 J25:J42 J47:J49 J138:J139 J2:J23" xr:uid="{720DDD97-1E13-49A5-A285-D20F37537F19}">
      <formula1>4</formula1>
      <formula2>250</formula2>
    </dataValidation>
    <dataValidation type="textLength" allowBlank="1" showInputMessage="1" showErrorMessage="1" sqref="Q47:Q49 Q97:Q139 Q2:Q42" xr:uid="{E595BC0B-8851-47EB-A6CF-9145865C838A}">
      <formula1>3</formula1>
      <formula2>300</formula2>
    </dataValidation>
    <dataValidation type="decimal" allowBlank="1" showInputMessage="1" showErrorMessage="1" promptTitle="Hint" prompt="Its should be between $10,000 &amp; $1,000,000" sqref="T2:T35 T38:T42 T49 T47" xr:uid="{306AA9FD-A8BD-4975-A0EA-6393DF4EDD94}">
      <formula1>10000</formula1>
      <formula2>1000000</formula2>
    </dataValidation>
    <dataValidation type="date" allowBlank="1" showInputMessage="1" showErrorMessage="1" sqref="L2:L96" xr:uid="{4FF128DE-5587-4322-991F-B0713A0BA898}">
      <formula1>45658</formula1>
      <formula2>46022</formula2>
    </dataValidation>
    <dataValidation type="list" allowBlank="1" showInputMessage="1" showErrorMessage="1" sqref="U2:U96" xr:uid="{30C3BD00-0477-43CC-9DC1-22E4572F7308}">
      <formula1>Status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F0635-B336-4C33-BA8E-F70927CA0C9C}">
  <dimension ref="A1:M140"/>
  <sheetViews>
    <sheetView showGridLines="0" workbookViewId="0">
      <pane ySplit="1" topLeftCell="A35" activePane="bottomLeft" state="frozen"/>
      <selection pane="bottomLeft" activeCell="C59" sqref="C59"/>
    </sheetView>
  </sheetViews>
  <sheetFormatPr defaultColWidth="9.1796875" defaultRowHeight="10.5" x14ac:dyDescent="0.35"/>
  <cols>
    <col min="1" max="1" width="3.453125" style="8" customWidth="1"/>
    <col min="2" max="2" width="37.1796875" style="8" customWidth="1"/>
    <col min="3" max="5" width="16.1796875" style="8" customWidth="1"/>
    <col min="6" max="6" width="14.453125" style="8" customWidth="1"/>
    <col min="7" max="7" width="17" style="8" customWidth="1"/>
    <col min="8" max="8" width="23.453125" style="8" customWidth="1"/>
    <col min="9" max="9" width="30.453125" style="8" customWidth="1"/>
    <col min="10" max="10" width="34.7265625" style="8" customWidth="1"/>
    <col min="11" max="11" width="45.7265625" style="8" customWidth="1"/>
    <col min="12" max="12" width="19" style="8" customWidth="1"/>
    <col min="13" max="13" width="11.81640625" style="8" customWidth="1"/>
    <col min="14" max="16384" width="9.1796875" style="8"/>
  </cols>
  <sheetData>
    <row r="1" spans="1:13" s="4" customFormat="1" ht="31.5" customHeight="1" x14ac:dyDescent="0.35">
      <c r="A1" s="3" t="s">
        <v>124</v>
      </c>
      <c r="B1" s="3" t="s">
        <v>125</v>
      </c>
      <c r="C1" s="3" t="s">
        <v>126</v>
      </c>
      <c r="D1" s="3" t="s">
        <v>127</v>
      </c>
      <c r="E1" s="3" t="s">
        <v>128</v>
      </c>
      <c r="F1" s="3" t="s">
        <v>129</v>
      </c>
      <c r="G1" s="3" t="s">
        <v>130</v>
      </c>
      <c r="H1" s="3" t="s">
        <v>131</v>
      </c>
      <c r="I1" s="3" t="s">
        <v>132</v>
      </c>
      <c r="J1" s="3" t="s">
        <v>133</v>
      </c>
      <c r="K1" s="3" t="s">
        <v>134</v>
      </c>
      <c r="L1" s="3" t="s">
        <v>135</v>
      </c>
      <c r="M1" s="3" t="s">
        <v>136</v>
      </c>
    </row>
    <row r="2" spans="1:13" ht="14.15" customHeight="1" x14ac:dyDescent="0.35">
      <c r="A2" s="5" cm="1">
        <f t="array" ref="A2:A60">_xlfn.SEQUENCE(COUNTA(B:B)*1)</f>
        <v>1</v>
      </c>
      <c r="B2" s="5" t="s">
        <v>137</v>
      </c>
      <c r="C2" s="5" t="s">
        <v>24</v>
      </c>
      <c r="D2" s="5" t="s">
        <v>138</v>
      </c>
      <c r="E2" s="5" t="s">
        <v>139</v>
      </c>
      <c r="F2" s="5">
        <v>2020</v>
      </c>
      <c r="G2" s="5" t="s">
        <v>140</v>
      </c>
      <c r="H2" s="5" t="s">
        <v>141</v>
      </c>
      <c r="I2" s="6" t="s">
        <v>142</v>
      </c>
      <c r="J2" s="7" t="s">
        <v>143</v>
      </c>
      <c r="K2" s="6" t="s">
        <v>144</v>
      </c>
      <c r="L2" s="5" t="s">
        <v>145</v>
      </c>
      <c r="M2" s="5" t="s">
        <v>145</v>
      </c>
    </row>
    <row r="3" spans="1:13" x14ac:dyDescent="0.35">
      <c r="A3" s="5">
        <v>2</v>
      </c>
      <c r="B3" s="5" t="s">
        <v>146</v>
      </c>
      <c r="C3" s="5" t="s">
        <v>147</v>
      </c>
      <c r="D3" s="5"/>
      <c r="E3" s="5" t="s">
        <v>145</v>
      </c>
      <c r="F3" s="5">
        <v>2018</v>
      </c>
      <c r="G3" s="5" t="s">
        <v>148</v>
      </c>
      <c r="H3" s="6"/>
      <c r="I3" s="6" t="s">
        <v>149</v>
      </c>
      <c r="J3" s="5"/>
      <c r="K3" s="5" t="s">
        <v>150</v>
      </c>
      <c r="L3" s="5" t="s">
        <v>145</v>
      </c>
      <c r="M3" s="5" t="s">
        <v>145</v>
      </c>
    </row>
    <row r="4" spans="1:13" x14ac:dyDescent="0.35">
      <c r="A4" s="5">
        <v>3</v>
      </c>
      <c r="B4" s="5" t="s">
        <v>151</v>
      </c>
      <c r="C4" s="5" t="s">
        <v>24</v>
      </c>
      <c r="D4" s="5" t="s">
        <v>152</v>
      </c>
      <c r="E4" s="5" t="s">
        <v>139</v>
      </c>
      <c r="F4" s="5">
        <v>2011</v>
      </c>
      <c r="G4" s="5"/>
      <c r="H4" s="5"/>
      <c r="I4" s="6" t="s">
        <v>153</v>
      </c>
      <c r="J4" s="5"/>
      <c r="K4" s="6" t="s">
        <v>154</v>
      </c>
      <c r="L4" s="5"/>
      <c r="M4" s="5" t="s">
        <v>145</v>
      </c>
    </row>
    <row r="5" spans="1:13" x14ac:dyDescent="0.35">
      <c r="A5" s="5">
        <v>4</v>
      </c>
      <c r="B5" s="5" t="s">
        <v>155</v>
      </c>
      <c r="C5" s="5" t="s">
        <v>156</v>
      </c>
      <c r="D5" s="5"/>
      <c r="E5" s="5" t="s">
        <v>145</v>
      </c>
      <c r="F5" s="5">
        <v>2001</v>
      </c>
      <c r="G5" s="5" t="s">
        <v>157</v>
      </c>
      <c r="H5" s="5" t="s">
        <v>158</v>
      </c>
      <c r="I5" s="6" t="s">
        <v>159</v>
      </c>
      <c r="J5" s="5"/>
      <c r="K5" s="5" t="s">
        <v>160</v>
      </c>
      <c r="L5" s="5" t="s">
        <v>145</v>
      </c>
      <c r="M5" s="5"/>
    </row>
    <row r="6" spans="1:13" ht="13" customHeight="1" x14ac:dyDescent="0.35">
      <c r="A6" s="5">
        <v>5</v>
      </c>
      <c r="B6" s="5" t="s">
        <v>161</v>
      </c>
      <c r="C6" s="5" t="s">
        <v>108</v>
      </c>
      <c r="D6" s="5" t="s">
        <v>108</v>
      </c>
      <c r="E6" s="5" t="s">
        <v>139</v>
      </c>
      <c r="F6" s="5"/>
      <c r="G6" s="5" t="s">
        <v>162</v>
      </c>
      <c r="H6" s="5" t="s">
        <v>163</v>
      </c>
      <c r="I6" s="5" t="s">
        <v>164</v>
      </c>
      <c r="J6" s="9" t="s">
        <v>165</v>
      </c>
      <c r="K6" s="10" t="s">
        <v>166</v>
      </c>
      <c r="L6" s="5" t="s">
        <v>145</v>
      </c>
      <c r="M6" s="5" t="s">
        <v>145</v>
      </c>
    </row>
    <row r="7" spans="1:13" x14ac:dyDescent="0.35">
      <c r="A7" s="5">
        <v>6</v>
      </c>
      <c r="B7" s="5" t="s">
        <v>167</v>
      </c>
      <c r="C7" s="5" t="s">
        <v>66</v>
      </c>
      <c r="D7" s="5"/>
      <c r="E7" s="5"/>
      <c r="F7" s="5"/>
      <c r="G7" s="5"/>
      <c r="H7" s="5"/>
      <c r="I7" s="5"/>
      <c r="J7" s="5"/>
      <c r="K7" s="5" t="s">
        <v>168</v>
      </c>
      <c r="L7" s="5"/>
      <c r="M7" s="5"/>
    </row>
    <row r="8" spans="1:13" x14ac:dyDescent="0.35">
      <c r="A8" s="5">
        <v>7</v>
      </c>
      <c r="B8" s="5" t="s">
        <v>169</v>
      </c>
      <c r="C8" s="5" t="s">
        <v>170</v>
      </c>
      <c r="D8" s="5" t="s">
        <v>171</v>
      </c>
      <c r="E8" s="5"/>
      <c r="F8" s="5">
        <v>2012</v>
      </c>
      <c r="G8" s="5" t="s">
        <v>172</v>
      </c>
      <c r="H8" s="5"/>
      <c r="I8" s="6" t="s">
        <v>173</v>
      </c>
      <c r="J8" s="5" t="s">
        <v>174</v>
      </c>
      <c r="K8" s="6" t="s">
        <v>175</v>
      </c>
      <c r="L8" s="5" t="s">
        <v>139</v>
      </c>
      <c r="M8" s="5"/>
    </row>
    <row r="9" spans="1:13" x14ac:dyDescent="0.35">
      <c r="A9" s="5">
        <v>8</v>
      </c>
      <c r="B9" s="5" t="s">
        <v>122</v>
      </c>
      <c r="C9" s="5"/>
      <c r="D9" s="5"/>
      <c r="E9" s="5"/>
      <c r="F9" s="5"/>
      <c r="G9" s="5"/>
      <c r="H9" s="5"/>
      <c r="I9" s="5"/>
      <c r="J9" s="5"/>
      <c r="K9" s="5" t="s">
        <v>176</v>
      </c>
      <c r="L9" s="5"/>
      <c r="M9" s="5"/>
    </row>
    <row r="10" spans="1:13" x14ac:dyDescent="0.35">
      <c r="A10" s="5">
        <v>9</v>
      </c>
      <c r="B10" s="5" t="s">
        <v>177</v>
      </c>
      <c r="C10" s="5" t="s">
        <v>178</v>
      </c>
      <c r="D10" s="5" t="s">
        <v>178</v>
      </c>
      <c r="E10" s="5" t="s">
        <v>139</v>
      </c>
      <c r="F10" s="5">
        <v>2019</v>
      </c>
      <c r="G10" s="5" t="s">
        <v>179</v>
      </c>
      <c r="H10" s="5" t="s">
        <v>180</v>
      </c>
      <c r="I10" s="6" t="s">
        <v>181</v>
      </c>
      <c r="J10" s="5"/>
      <c r="K10" s="6" t="s">
        <v>182</v>
      </c>
      <c r="L10" s="5" t="s">
        <v>139</v>
      </c>
      <c r="M10" s="5"/>
    </row>
    <row r="11" spans="1:13" x14ac:dyDescent="0.35">
      <c r="A11" s="5">
        <v>10</v>
      </c>
      <c r="B11" s="5" t="s">
        <v>183</v>
      </c>
    </row>
    <row r="12" spans="1:13" x14ac:dyDescent="0.35">
      <c r="A12" s="5">
        <v>11</v>
      </c>
      <c r="B12" s="5" t="s">
        <v>184</v>
      </c>
      <c r="C12" s="5" t="s">
        <v>185</v>
      </c>
      <c r="D12" s="5"/>
      <c r="E12" s="5"/>
      <c r="F12" s="5"/>
      <c r="G12" s="5"/>
      <c r="H12" s="5"/>
      <c r="I12" s="5"/>
      <c r="J12" s="5"/>
      <c r="K12" s="5" t="s">
        <v>186</v>
      </c>
      <c r="L12" s="5"/>
      <c r="M12" s="5"/>
    </row>
    <row r="13" spans="1:13" x14ac:dyDescent="0.35">
      <c r="A13" s="5">
        <v>12</v>
      </c>
      <c r="B13" s="5" t="s">
        <v>187</v>
      </c>
      <c r="C13" s="5" t="s">
        <v>97</v>
      </c>
      <c r="D13" s="5"/>
      <c r="E13" s="5"/>
      <c r="F13" s="5"/>
      <c r="G13" s="5"/>
      <c r="H13" s="5"/>
      <c r="I13" s="5"/>
      <c r="J13" s="5"/>
      <c r="K13" s="5" t="s">
        <v>188</v>
      </c>
      <c r="L13" s="5"/>
      <c r="M13" s="5"/>
    </row>
    <row r="14" spans="1:13" x14ac:dyDescent="0.35">
      <c r="A14" s="5">
        <v>13</v>
      </c>
      <c r="B14" s="11" t="s">
        <v>189</v>
      </c>
      <c r="C14" s="5" t="s">
        <v>190</v>
      </c>
      <c r="D14" s="5"/>
      <c r="E14" s="5"/>
      <c r="F14" s="5"/>
      <c r="G14" s="5"/>
      <c r="H14" s="5"/>
      <c r="I14" s="5"/>
      <c r="J14" s="5"/>
      <c r="K14" s="5"/>
      <c r="L14" s="5"/>
      <c r="M14" s="5"/>
    </row>
    <row r="15" spans="1:13" x14ac:dyDescent="0.35">
      <c r="A15" s="5">
        <v>14</v>
      </c>
      <c r="B15" s="12" t="s">
        <v>191</v>
      </c>
      <c r="C15" s="5" t="s">
        <v>68</v>
      </c>
      <c r="D15" s="5"/>
      <c r="E15" s="5"/>
      <c r="F15" s="5"/>
      <c r="G15" s="5"/>
      <c r="H15" s="5"/>
      <c r="I15" s="5"/>
      <c r="J15" s="5"/>
      <c r="K15" s="5"/>
      <c r="L15" s="5"/>
      <c r="M15" s="5"/>
    </row>
    <row r="16" spans="1:13" ht="15" customHeight="1" x14ac:dyDescent="0.35">
      <c r="A16" s="5">
        <v>15</v>
      </c>
      <c r="B16" s="5" t="s">
        <v>192</v>
      </c>
      <c r="C16" s="5" t="s">
        <v>118</v>
      </c>
      <c r="D16" s="5" t="s">
        <v>193</v>
      </c>
      <c r="E16" s="5"/>
      <c r="F16" s="5"/>
      <c r="G16" s="5" t="s">
        <v>194</v>
      </c>
      <c r="H16" s="5" t="s">
        <v>195</v>
      </c>
      <c r="I16" s="5" t="s">
        <v>196</v>
      </c>
      <c r="J16" s="9" t="s">
        <v>197</v>
      </c>
      <c r="K16" s="10" t="s">
        <v>198</v>
      </c>
      <c r="L16" s="5" t="s">
        <v>139</v>
      </c>
      <c r="M16" s="5"/>
    </row>
    <row r="17" spans="1:13" x14ac:dyDescent="0.35">
      <c r="A17" s="5">
        <v>16</v>
      </c>
      <c r="B17" s="5" t="s">
        <v>199</v>
      </c>
      <c r="C17" s="5" t="s">
        <v>147</v>
      </c>
      <c r="D17" s="5"/>
      <c r="E17" s="5"/>
      <c r="F17" s="5"/>
      <c r="G17" s="5"/>
      <c r="H17" s="5"/>
      <c r="I17" s="5"/>
      <c r="J17" s="5"/>
      <c r="K17" s="5" t="s">
        <v>200</v>
      </c>
      <c r="L17" s="5"/>
      <c r="M17" s="5"/>
    </row>
    <row r="18" spans="1:13" x14ac:dyDescent="0.35">
      <c r="A18" s="5">
        <v>17</v>
      </c>
      <c r="B18" s="5" t="s">
        <v>26</v>
      </c>
      <c r="C18" s="5"/>
      <c r="D18" s="5"/>
      <c r="E18" s="5"/>
      <c r="F18" s="5"/>
      <c r="G18" s="5"/>
      <c r="H18" s="5"/>
      <c r="I18" s="5"/>
      <c r="J18" s="5"/>
      <c r="K18" s="5"/>
      <c r="L18" s="5"/>
      <c r="M18" s="5"/>
    </row>
    <row r="19" spans="1:13" ht="14.5" x14ac:dyDescent="0.35">
      <c r="A19" s="5">
        <v>18</v>
      </c>
      <c r="B19" s="13" t="s">
        <v>201</v>
      </c>
      <c r="C19" s="5" t="s">
        <v>147</v>
      </c>
      <c r="D19" s="5"/>
      <c r="E19" s="5"/>
      <c r="F19" s="5">
        <v>1972</v>
      </c>
      <c r="G19" s="5" t="s">
        <v>202</v>
      </c>
      <c r="H19" s="5" t="s">
        <v>203</v>
      </c>
      <c r="I19" s="31" t="s">
        <v>204</v>
      </c>
      <c r="J19" s="5" t="s">
        <v>205</v>
      </c>
      <c r="K19" s="5" t="s">
        <v>206</v>
      </c>
      <c r="L19" s="5"/>
      <c r="M19" s="5" t="s">
        <v>145</v>
      </c>
    </row>
    <row r="20" spans="1:13" ht="11.15" customHeight="1" x14ac:dyDescent="0.35">
      <c r="A20" s="5">
        <v>19</v>
      </c>
      <c r="B20" s="8" t="s">
        <v>94</v>
      </c>
      <c r="C20" s="5" t="s">
        <v>93</v>
      </c>
      <c r="D20" s="5" t="s">
        <v>152</v>
      </c>
      <c r="E20" s="5" t="s">
        <v>139</v>
      </c>
      <c r="F20" s="5">
        <v>2015</v>
      </c>
      <c r="G20" s="5" t="s">
        <v>207</v>
      </c>
      <c r="H20" s="5"/>
      <c r="I20" s="6" t="s">
        <v>208</v>
      </c>
      <c r="J20" s="7" t="s">
        <v>209</v>
      </c>
      <c r="K20" s="6" t="s">
        <v>210</v>
      </c>
      <c r="L20" s="5" t="s">
        <v>145</v>
      </c>
      <c r="M20" s="5"/>
    </row>
    <row r="21" spans="1:13" x14ac:dyDescent="0.35">
      <c r="A21" s="5">
        <v>20</v>
      </c>
      <c r="B21" s="5" t="s">
        <v>211</v>
      </c>
      <c r="C21" s="5" t="s">
        <v>212</v>
      </c>
      <c r="D21" s="5"/>
      <c r="E21" s="5"/>
      <c r="F21" s="5"/>
      <c r="G21" s="5"/>
      <c r="H21" s="5"/>
      <c r="I21" s="5"/>
      <c r="J21" s="5"/>
      <c r="K21" s="5" t="s">
        <v>213</v>
      </c>
      <c r="L21" s="5"/>
      <c r="M21" s="5"/>
    </row>
    <row r="22" spans="1:13" x14ac:dyDescent="0.35">
      <c r="A22" s="5">
        <v>21</v>
      </c>
      <c r="B22" s="5" t="s">
        <v>214</v>
      </c>
      <c r="C22" s="5" t="s">
        <v>24</v>
      </c>
      <c r="D22" s="5"/>
      <c r="E22" s="5"/>
      <c r="F22" s="5"/>
      <c r="G22" s="5" t="s">
        <v>215</v>
      </c>
      <c r="H22" s="5"/>
      <c r="I22" s="5" t="s">
        <v>216</v>
      </c>
      <c r="J22" s="5"/>
      <c r="K22" s="5"/>
      <c r="L22" s="5"/>
      <c r="M22" s="5"/>
    </row>
    <row r="23" spans="1:13" x14ac:dyDescent="0.35">
      <c r="A23" s="5">
        <v>22</v>
      </c>
      <c r="B23" s="5" t="s">
        <v>217</v>
      </c>
      <c r="C23" s="5"/>
      <c r="D23" s="5"/>
      <c r="E23" s="5"/>
      <c r="F23" s="5"/>
      <c r="G23" s="5" t="s">
        <v>218</v>
      </c>
      <c r="H23" s="5"/>
      <c r="I23" s="5" t="s">
        <v>219</v>
      </c>
      <c r="J23" s="5"/>
      <c r="K23" s="5" t="s">
        <v>220</v>
      </c>
      <c r="L23" s="5"/>
      <c r="M23" s="5"/>
    </row>
    <row r="24" spans="1:13" x14ac:dyDescent="0.35">
      <c r="A24" s="5">
        <v>23</v>
      </c>
      <c r="B24" s="12" t="s">
        <v>123</v>
      </c>
      <c r="C24" s="5"/>
      <c r="D24" s="5"/>
      <c r="E24" s="5"/>
      <c r="F24" s="5"/>
      <c r="G24" s="5"/>
      <c r="H24" s="5"/>
      <c r="I24" s="5"/>
      <c r="J24" s="5"/>
      <c r="K24" s="5"/>
      <c r="L24" s="5"/>
      <c r="M24" s="5"/>
    </row>
    <row r="25" spans="1:13" ht="13" customHeight="1" x14ac:dyDescent="0.35">
      <c r="A25" s="5">
        <v>24</v>
      </c>
      <c r="B25" s="13" t="s">
        <v>123</v>
      </c>
      <c r="C25" s="5"/>
      <c r="D25" s="5"/>
      <c r="E25" s="5"/>
      <c r="F25" s="5"/>
      <c r="G25" s="5"/>
      <c r="H25" s="5"/>
      <c r="I25" s="6"/>
      <c r="J25" s="5"/>
      <c r="K25" s="5"/>
      <c r="L25" s="5"/>
      <c r="M25" s="5"/>
    </row>
    <row r="26" spans="1:13" ht="21" x14ac:dyDescent="0.35">
      <c r="A26" s="5">
        <v>25</v>
      </c>
      <c r="B26" s="5" t="s">
        <v>221</v>
      </c>
      <c r="C26" s="5" t="s">
        <v>222</v>
      </c>
      <c r="D26" s="5" t="s">
        <v>223</v>
      </c>
      <c r="E26" s="5" t="s">
        <v>139</v>
      </c>
      <c r="F26" s="5">
        <v>2008</v>
      </c>
      <c r="G26" s="5"/>
      <c r="H26" s="5"/>
      <c r="I26" s="5"/>
      <c r="J26" s="5"/>
      <c r="K26" s="10" t="s">
        <v>224</v>
      </c>
      <c r="L26" s="5" t="s">
        <v>139</v>
      </c>
      <c r="M26" s="5"/>
    </row>
    <row r="27" spans="1:13" x14ac:dyDescent="0.35">
      <c r="A27" s="5">
        <v>26</v>
      </c>
      <c r="B27" s="5" t="s">
        <v>225</v>
      </c>
      <c r="C27" s="5"/>
      <c r="D27" s="5"/>
      <c r="E27" s="5"/>
      <c r="F27" s="5"/>
      <c r="G27" s="5"/>
      <c r="H27" s="5"/>
      <c r="I27" s="5"/>
      <c r="J27" s="5"/>
      <c r="K27" s="5"/>
      <c r="L27" s="5"/>
      <c r="M27" s="5"/>
    </row>
    <row r="28" spans="1:13" x14ac:dyDescent="0.35">
      <c r="A28" s="5">
        <v>27</v>
      </c>
      <c r="B28" s="13" t="s">
        <v>96</v>
      </c>
      <c r="C28" s="5" t="s">
        <v>226</v>
      </c>
      <c r="D28" s="5" t="s">
        <v>226</v>
      </c>
      <c r="E28" s="5"/>
      <c r="F28" s="5"/>
      <c r="G28" s="5" t="s">
        <v>227</v>
      </c>
      <c r="H28" s="5"/>
      <c r="I28" s="5" t="s">
        <v>228</v>
      </c>
      <c r="J28" s="5"/>
      <c r="K28" s="5"/>
      <c r="L28" s="5"/>
      <c r="M28" s="5"/>
    </row>
    <row r="29" spans="1:13" x14ac:dyDescent="0.35">
      <c r="A29" s="5">
        <v>28</v>
      </c>
      <c r="B29" s="5" t="s">
        <v>229</v>
      </c>
      <c r="C29" s="5"/>
      <c r="D29" s="5"/>
      <c r="E29" s="5"/>
      <c r="F29" s="5"/>
      <c r="G29" s="5"/>
      <c r="H29" s="5"/>
      <c r="I29" s="5"/>
      <c r="J29" s="5"/>
      <c r="K29" s="5"/>
      <c r="L29" s="5"/>
      <c r="M29" s="5"/>
    </row>
    <row r="30" spans="1:13" ht="15.65" customHeight="1" x14ac:dyDescent="0.35">
      <c r="A30" s="5">
        <v>29</v>
      </c>
      <c r="B30" s="5" t="s">
        <v>230</v>
      </c>
      <c r="C30" s="5" t="s">
        <v>231</v>
      </c>
      <c r="D30" s="5"/>
      <c r="E30" s="5"/>
      <c r="F30" s="5"/>
      <c r="G30" s="5"/>
      <c r="H30" s="5"/>
      <c r="I30" s="5"/>
      <c r="J30" s="5"/>
      <c r="K30" s="5"/>
      <c r="L30" s="5"/>
      <c r="M30" s="5"/>
    </row>
    <row r="31" spans="1:13" ht="31.5" x14ac:dyDescent="0.35">
      <c r="A31" s="5">
        <v>30</v>
      </c>
      <c r="B31" s="5" t="s">
        <v>232</v>
      </c>
      <c r="C31" s="5" t="s">
        <v>233</v>
      </c>
      <c r="D31" s="5"/>
      <c r="E31" s="5"/>
      <c r="F31" s="5"/>
      <c r="G31" s="5"/>
      <c r="H31" s="5"/>
      <c r="I31" s="5"/>
      <c r="J31" s="5"/>
      <c r="K31" s="5"/>
      <c r="L31" s="5"/>
      <c r="M31" s="5"/>
    </row>
    <row r="32" spans="1:13" ht="13" customHeight="1" x14ac:dyDescent="0.35">
      <c r="A32" s="5">
        <v>31</v>
      </c>
      <c r="B32" s="13" t="s">
        <v>234</v>
      </c>
      <c r="C32" s="5" t="s">
        <v>24</v>
      </c>
      <c r="D32" s="5"/>
      <c r="E32" s="5"/>
      <c r="F32" s="5"/>
      <c r="G32" s="5" t="s">
        <v>235</v>
      </c>
      <c r="H32" s="5" t="s">
        <v>236</v>
      </c>
      <c r="I32" s="6" t="s">
        <v>237</v>
      </c>
      <c r="J32" s="7"/>
      <c r="K32" s="5" t="s">
        <v>238</v>
      </c>
      <c r="L32" s="5" t="s">
        <v>139</v>
      </c>
      <c r="M32" s="5" t="s">
        <v>139</v>
      </c>
    </row>
    <row r="33" spans="1:13" x14ac:dyDescent="0.35">
      <c r="A33" s="5">
        <v>32</v>
      </c>
      <c r="B33" s="5" t="s">
        <v>239</v>
      </c>
      <c r="C33" s="5" t="s">
        <v>116</v>
      </c>
      <c r="D33" s="5"/>
      <c r="E33" s="5"/>
      <c r="F33" s="5"/>
      <c r="G33" s="5" t="s">
        <v>240</v>
      </c>
      <c r="H33" s="5" t="s">
        <v>241</v>
      </c>
      <c r="I33" s="5" t="s">
        <v>242</v>
      </c>
      <c r="J33" s="7" t="s">
        <v>243</v>
      </c>
      <c r="K33" s="5"/>
      <c r="L33" s="5"/>
      <c r="M33" s="5"/>
    </row>
    <row r="34" spans="1:13" ht="14.5" customHeight="1" x14ac:dyDescent="0.35">
      <c r="A34" s="5">
        <v>33</v>
      </c>
      <c r="B34" s="5" t="s">
        <v>244</v>
      </c>
      <c r="C34" s="5" t="s">
        <v>57</v>
      </c>
      <c r="D34" s="5" t="s">
        <v>245</v>
      </c>
      <c r="E34" s="5"/>
      <c r="F34" s="5"/>
      <c r="G34" s="8" t="s">
        <v>246</v>
      </c>
      <c r="H34" s="5"/>
      <c r="I34" s="5" t="s">
        <v>247</v>
      </c>
      <c r="J34" s="5"/>
      <c r="K34" s="8" t="s">
        <v>248</v>
      </c>
      <c r="L34" s="5"/>
      <c r="M34" s="5"/>
    </row>
    <row r="35" spans="1:13" x14ac:dyDescent="0.35">
      <c r="A35" s="5">
        <v>34</v>
      </c>
      <c r="B35" s="5" t="s">
        <v>249</v>
      </c>
      <c r="C35" s="5" t="s">
        <v>250</v>
      </c>
      <c r="D35" s="5"/>
      <c r="E35" s="5"/>
      <c r="F35" s="5">
        <v>1999</v>
      </c>
      <c r="G35" s="5"/>
      <c r="H35" s="5"/>
      <c r="I35" s="5"/>
      <c r="J35" s="5"/>
      <c r="K35" s="5"/>
      <c r="L35" s="5"/>
      <c r="M35" s="5"/>
    </row>
    <row r="36" spans="1:13" x14ac:dyDescent="0.35">
      <c r="A36" s="5">
        <v>35</v>
      </c>
      <c r="B36" s="5" t="s">
        <v>251</v>
      </c>
      <c r="C36" s="5"/>
      <c r="D36" s="5"/>
      <c r="E36" s="5"/>
      <c r="F36" s="5"/>
      <c r="G36" s="5"/>
      <c r="H36" s="5"/>
      <c r="I36" s="5"/>
      <c r="J36" s="5"/>
      <c r="K36" s="5" t="s">
        <v>252</v>
      </c>
      <c r="L36" s="5"/>
      <c r="M36" s="5"/>
    </row>
    <row r="37" spans="1:13" ht="21" x14ac:dyDescent="0.35">
      <c r="A37" s="5">
        <v>36</v>
      </c>
      <c r="B37" s="5" t="s">
        <v>253</v>
      </c>
      <c r="C37" s="5" t="s">
        <v>254</v>
      </c>
      <c r="D37" s="5"/>
      <c r="E37" s="5"/>
      <c r="F37" s="5">
        <v>2009</v>
      </c>
      <c r="G37" s="5" t="s">
        <v>255</v>
      </c>
      <c r="H37" s="5" t="s">
        <v>256</v>
      </c>
      <c r="I37" s="6" t="s">
        <v>257</v>
      </c>
      <c r="J37" s="7" t="s">
        <v>258</v>
      </c>
      <c r="K37" s="35"/>
      <c r="L37" s="5"/>
      <c r="M37" s="5"/>
    </row>
    <row r="38" spans="1:13" x14ac:dyDescent="0.35">
      <c r="A38" s="5">
        <v>37</v>
      </c>
      <c r="B38" s="5" t="s">
        <v>259</v>
      </c>
      <c r="C38" s="5" t="s">
        <v>260</v>
      </c>
    </row>
    <row r="39" spans="1:13" x14ac:dyDescent="0.35">
      <c r="A39" s="5">
        <v>38</v>
      </c>
      <c r="B39" s="13" t="s">
        <v>261</v>
      </c>
      <c r="C39" s="5"/>
      <c r="D39" s="5"/>
      <c r="E39" s="5"/>
      <c r="F39" s="5"/>
      <c r="G39" s="5"/>
      <c r="H39" s="5"/>
      <c r="I39" s="5"/>
      <c r="J39" s="5"/>
      <c r="K39" s="5"/>
      <c r="L39" s="5"/>
      <c r="M39" s="5"/>
    </row>
    <row r="40" spans="1:13" x14ac:dyDescent="0.35">
      <c r="A40" s="5">
        <v>39</v>
      </c>
      <c r="B40" s="5" t="s">
        <v>86</v>
      </c>
      <c r="C40" s="5" t="s">
        <v>212</v>
      </c>
      <c r="D40" s="5" t="s">
        <v>262</v>
      </c>
      <c r="E40" s="5" t="s">
        <v>145</v>
      </c>
      <c r="F40" s="5">
        <v>2014</v>
      </c>
      <c r="G40" s="5" t="s">
        <v>263</v>
      </c>
      <c r="H40" s="5" t="s">
        <v>264</v>
      </c>
      <c r="I40" s="5" t="s">
        <v>265</v>
      </c>
      <c r="J40" s="5" t="s">
        <v>266</v>
      </c>
      <c r="K40" s="5" t="s">
        <v>267</v>
      </c>
      <c r="L40" s="5" t="s">
        <v>145</v>
      </c>
      <c r="M40" s="5" t="s">
        <v>139</v>
      </c>
    </row>
    <row r="41" spans="1:13" x14ac:dyDescent="0.35">
      <c r="A41" s="5">
        <v>40</v>
      </c>
      <c r="B41" s="5" t="s">
        <v>268</v>
      </c>
      <c r="C41" s="5" t="s">
        <v>57</v>
      </c>
      <c r="D41" s="5"/>
      <c r="E41" s="5"/>
      <c r="F41" s="5"/>
      <c r="G41" s="5"/>
      <c r="H41" s="5"/>
      <c r="I41" s="5"/>
      <c r="J41" s="5"/>
      <c r="K41" s="5"/>
      <c r="L41" s="5"/>
      <c r="M41" s="5"/>
    </row>
    <row r="42" spans="1:13" x14ac:dyDescent="0.35">
      <c r="A42" s="5">
        <v>41</v>
      </c>
      <c r="B42" s="5" t="s">
        <v>269</v>
      </c>
      <c r="C42" s="5" t="s">
        <v>270</v>
      </c>
      <c r="D42" s="5"/>
      <c r="E42" s="5" t="s">
        <v>145</v>
      </c>
      <c r="F42" s="5">
        <v>1984</v>
      </c>
      <c r="G42" s="5" t="s">
        <v>271</v>
      </c>
      <c r="H42" s="5" t="s">
        <v>272</v>
      </c>
      <c r="I42" s="6" t="s">
        <v>273</v>
      </c>
      <c r="J42" s="7" t="s">
        <v>274</v>
      </c>
      <c r="K42" s="6" t="s">
        <v>275</v>
      </c>
      <c r="L42" s="5"/>
      <c r="M42" s="5"/>
    </row>
    <row r="43" spans="1:13" x14ac:dyDescent="0.35">
      <c r="A43" s="5">
        <v>42</v>
      </c>
      <c r="B43" s="30" t="s">
        <v>110</v>
      </c>
      <c r="C43" s="5" t="s">
        <v>108</v>
      </c>
      <c r="D43" s="5" t="s">
        <v>108</v>
      </c>
      <c r="E43" s="5" t="s">
        <v>139</v>
      </c>
      <c r="F43" s="5">
        <v>2017</v>
      </c>
      <c r="G43" s="5" t="s">
        <v>276</v>
      </c>
      <c r="H43" s="8" t="s">
        <v>163</v>
      </c>
      <c r="I43" s="8" t="s">
        <v>277</v>
      </c>
      <c r="J43" s="8">
        <v>260978506508</v>
      </c>
      <c r="K43" s="8" t="s">
        <v>278</v>
      </c>
      <c r="L43" s="8" t="s">
        <v>139</v>
      </c>
      <c r="M43" s="8" t="s">
        <v>145</v>
      </c>
    </row>
    <row r="44" spans="1:13" x14ac:dyDescent="0.35">
      <c r="A44" s="5">
        <v>43</v>
      </c>
      <c r="B44" s="5" t="s">
        <v>279</v>
      </c>
      <c r="C44" s="5"/>
      <c r="D44" s="5"/>
      <c r="E44" s="5"/>
      <c r="F44" s="5"/>
      <c r="G44" s="5"/>
      <c r="H44" s="5"/>
      <c r="J44" s="5"/>
      <c r="K44" s="5"/>
      <c r="L44" s="5"/>
      <c r="M44" s="5"/>
    </row>
    <row r="45" spans="1:13" ht="13" customHeight="1" x14ac:dyDescent="0.35">
      <c r="A45" s="5">
        <v>44</v>
      </c>
      <c r="B45" s="5" t="s">
        <v>101</v>
      </c>
      <c r="C45" s="5"/>
      <c r="D45" s="5"/>
      <c r="E45" s="5"/>
      <c r="F45" s="5"/>
      <c r="G45" s="5"/>
      <c r="H45" s="5"/>
      <c r="I45" s="5"/>
      <c r="J45" s="5"/>
      <c r="K45" s="5"/>
      <c r="L45" s="5"/>
      <c r="M45" s="5"/>
    </row>
    <row r="46" spans="1:13" ht="13" customHeight="1" x14ac:dyDescent="0.35">
      <c r="A46" s="5">
        <v>45</v>
      </c>
      <c r="B46" s="5" t="s">
        <v>280</v>
      </c>
      <c r="C46" s="5"/>
      <c r="D46" s="5"/>
      <c r="E46" s="5"/>
      <c r="F46" s="5"/>
      <c r="G46" s="5"/>
      <c r="H46" s="5"/>
      <c r="I46" s="5"/>
      <c r="J46" s="5"/>
      <c r="K46" s="5"/>
      <c r="L46" s="5"/>
      <c r="M46" s="5"/>
    </row>
    <row r="47" spans="1:13" x14ac:dyDescent="0.35">
      <c r="A47" s="5">
        <v>46</v>
      </c>
      <c r="B47" s="28" t="s">
        <v>281</v>
      </c>
      <c r="C47" s="5" t="s">
        <v>118</v>
      </c>
      <c r="D47" s="5"/>
      <c r="E47" s="5"/>
      <c r="F47" s="5"/>
      <c r="G47" s="5"/>
      <c r="H47" s="5"/>
      <c r="I47" s="5"/>
      <c r="J47" s="5"/>
      <c r="K47" s="5"/>
      <c r="L47" s="5"/>
      <c r="M47" s="5"/>
    </row>
    <row r="48" spans="1:13" x14ac:dyDescent="0.35">
      <c r="A48" s="5">
        <v>47</v>
      </c>
      <c r="B48" s="12" t="s">
        <v>282</v>
      </c>
      <c r="C48" s="5" t="s">
        <v>116</v>
      </c>
      <c r="D48" s="5" t="s">
        <v>152</v>
      </c>
      <c r="E48" s="5" t="s">
        <v>139</v>
      </c>
      <c r="F48" s="5">
        <v>2012</v>
      </c>
      <c r="G48" s="8" t="s">
        <v>283</v>
      </c>
      <c r="H48" s="8" t="s">
        <v>163</v>
      </c>
      <c r="I48" s="8" t="s">
        <v>284</v>
      </c>
      <c r="J48" s="8" t="s">
        <v>285</v>
      </c>
      <c r="K48" s="8" t="s">
        <v>286</v>
      </c>
      <c r="L48" s="8" t="s">
        <v>145</v>
      </c>
    </row>
    <row r="49" spans="1:13" x14ac:dyDescent="0.35">
      <c r="A49" s="5">
        <v>48</v>
      </c>
      <c r="B49" s="5" t="s">
        <v>287</v>
      </c>
      <c r="C49" s="5"/>
      <c r="D49" s="5"/>
      <c r="E49" s="5"/>
      <c r="F49" s="5"/>
      <c r="G49" s="5"/>
      <c r="H49" s="5" t="s">
        <v>288</v>
      </c>
      <c r="I49" s="34" t="s">
        <v>289</v>
      </c>
      <c r="J49" s="7" t="s">
        <v>290</v>
      </c>
      <c r="K49" s="5"/>
      <c r="L49" s="5"/>
      <c r="M49" s="5"/>
    </row>
    <row r="50" spans="1:13" ht="21" x14ac:dyDescent="0.35">
      <c r="A50" s="5">
        <v>49</v>
      </c>
      <c r="B50" s="5" t="s">
        <v>291</v>
      </c>
      <c r="C50" s="5" t="s">
        <v>24</v>
      </c>
      <c r="D50" s="5"/>
      <c r="E50" s="5"/>
      <c r="F50" s="5">
        <v>2012</v>
      </c>
      <c r="G50" s="8" t="s">
        <v>292</v>
      </c>
      <c r="H50" s="5" t="s">
        <v>293</v>
      </c>
      <c r="I50" s="5" t="s">
        <v>294</v>
      </c>
      <c r="J50" s="5"/>
      <c r="K50" s="5" t="s">
        <v>295</v>
      </c>
      <c r="L50" s="5" t="s">
        <v>139</v>
      </c>
      <c r="M50" s="5" t="s">
        <v>145</v>
      </c>
    </row>
    <row r="51" spans="1:13" ht="14.15" customHeight="1" x14ac:dyDescent="0.35">
      <c r="A51" s="5">
        <v>50</v>
      </c>
      <c r="B51" s="5" t="s">
        <v>296</v>
      </c>
      <c r="C51" s="5"/>
      <c r="D51" s="5"/>
      <c r="E51" s="5"/>
      <c r="F51" s="5"/>
      <c r="G51" s="5"/>
      <c r="H51" s="5"/>
      <c r="I51" s="5"/>
      <c r="J51" s="5"/>
      <c r="K51" s="5"/>
      <c r="L51" s="5"/>
      <c r="M51" s="5"/>
    </row>
    <row r="52" spans="1:13" x14ac:dyDescent="0.35">
      <c r="A52" s="5">
        <v>51</v>
      </c>
      <c r="B52" s="5" t="s">
        <v>297</v>
      </c>
      <c r="C52" s="5"/>
      <c r="D52" s="5"/>
      <c r="E52" s="5"/>
      <c r="F52" s="5"/>
    </row>
    <row r="53" spans="1:13" x14ac:dyDescent="0.35">
      <c r="A53" s="5">
        <v>52</v>
      </c>
      <c r="B53" s="5" t="s">
        <v>298</v>
      </c>
      <c r="C53" s="5" t="s">
        <v>71</v>
      </c>
      <c r="D53" s="5"/>
      <c r="E53" s="5"/>
      <c r="F53" s="5"/>
      <c r="G53" s="5"/>
      <c r="H53" s="5"/>
      <c r="I53" s="5"/>
      <c r="J53" s="7"/>
      <c r="K53" s="5"/>
      <c r="L53" s="5"/>
      <c r="M53" s="5"/>
    </row>
    <row r="54" spans="1:13" ht="11.5" customHeight="1" x14ac:dyDescent="0.35">
      <c r="A54" s="5">
        <v>53</v>
      </c>
      <c r="B54" s="27" t="s">
        <v>72</v>
      </c>
      <c r="C54" s="5" t="s">
        <v>88</v>
      </c>
      <c r="D54" s="5"/>
      <c r="E54" s="5"/>
      <c r="F54" s="5"/>
      <c r="G54" s="33" t="s">
        <v>299</v>
      </c>
      <c r="H54" s="5" t="s">
        <v>300</v>
      </c>
      <c r="I54" s="6" t="s">
        <v>301</v>
      </c>
      <c r="J54" s="5" t="s">
        <v>302</v>
      </c>
      <c r="K54" s="5" t="s">
        <v>303</v>
      </c>
      <c r="L54" s="5" t="s">
        <v>139</v>
      </c>
      <c r="M54" s="5" t="s">
        <v>145</v>
      </c>
    </row>
    <row r="55" spans="1:13" ht="21" x14ac:dyDescent="0.35">
      <c r="A55" s="5">
        <v>54</v>
      </c>
      <c r="B55" s="5" t="s">
        <v>304</v>
      </c>
      <c r="C55" s="5"/>
      <c r="D55" s="5"/>
      <c r="E55" s="5"/>
      <c r="F55" s="5"/>
      <c r="G55" s="5" t="s">
        <v>305</v>
      </c>
      <c r="H55" s="5" t="s">
        <v>306</v>
      </c>
      <c r="I55" s="5" t="s">
        <v>307</v>
      </c>
      <c r="J55" s="5" t="s">
        <v>308</v>
      </c>
      <c r="K55" s="5" t="s">
        <v>309</v>
      </c>
      <c r="L55" s="5"/>
      <c r="M55" s="5"/>
    </row>
    <row r="56" spans="1:13" x14ac:dyDescent="0.35">
      <c r="A56" s="5">
        <v>55</v>
      </c>
      <c r="B56" s="11" t="s">
        <v>117</v>
      </c>
      <c r="C56" s="5" t="s">
        <v>116</v>
      </c>
      <c r="D56" s="5"/>
      <c r="E56" s="5"/>
      <c r="F56" s="5"/>
      <c r="G56" s="5"/>
      <c r="H56" s="5"/>
      <c r="I56" s="5"/>
      <c r="J56" s="5"/>
      <c r="K56" s="5"/>
      <c r="L56" s="5"/>
      <c r="M56" s="5"/>
    </row>
    <row r="57" spans="1:13" x14ac:dyDescent="0.35">
      <c r="A57" s="5">
        <v>56</v>
      </c>
      <c r="B57" s="27" t="s">
        <v>310</v>
      </c>
      <c r="C57" s="5" t="s">
        <v>311</v>
      </c>
      <c r="D57" s="5"/>
      <c r="E57" s="5"/>
      <c r="F57" s="5"/>
      <c r="G57" s="5"/>
      <c r="H57" s="5"/>
      <c r="I57" s="5"/>
      <c r="J57" s="5"/>
      <c r="K57" s="5"/>
      <c r="L57" s="5"/>
      <c r="M57" s="5"/>
    </row>
    <row r="58" spans="1:13" x14ac:dyDescent="0.35">
      <c r="A58" s="5">
        <v>57</v>
      </c>
      <c r="B58" s="29" t="s">
        <v>102</v>
      </c>
      <c r="C58" s="5" t="s">
        <v>24</v>
      </c>
      <c r="D58" s="5"/>
      <c r="E58" s="5"/>
      <c r="F58" s="5"/>
      <c r="G58" s="5" t="s">
        <v>312</v>
      </c>
      <c r="H58" s="5" t="s">
        <v>313</v>
      </c>
      <c r="I58" s="6" t="s">
        <v>314</v>
      </c>
      <c r="J58" s="5" t="s">
        <v>315</v>
      </c>
      <c r="K58" s="6" t="s">
        <v>316</v>
      </c>
      <c r="L58" s="5"/>
      <c r="M58" s="5"/>
    </row>
    <row r="59" spans="1:13" x14ac:dyDescent="0.25">
      <c r="A59" s="5">
        <v>58</v>
      </c>
      <c r="B59" s="5" t="s">
        <v>1109</v>
      </c>
      <c r="C59" s="5" t="s">
        <v>212</v>
      </c>
      <c r="D59" s="5"/>
      <c r="E59" s="5"/>
      <c r="F59" s="5"/>
      <c r="G59" s="5" t="s">
        <v>1110</v>
      </c>
      <c r="H59" s="5"/>
      <c r="I59" s="148" t="s">
        <v>1111</v>
      </c>
      <c r="J59" s="5"/>
      <c r="K59" s="5"/>
      <c r="L59" s="5"/>
      <c r="M59" s="5"/>
    </row>
    <row r="60" spans="1:13" x14ac:dyDescent="0.35">
      <c r="A60" s="5">
        <v>59</v>
      </c>
      <c r="B60" s="5"/>
      <c r="C60" s="5"/>
      <c r="D60" s="5"/>
      <c r="E60" s="5"/>
      <c r="F60" s="5"/>
      <c r="G60" s="5"/>
      <c r="H60" s="5"/>
      <c r="I60" s="5"/>
      <c r="J60" s="5"/>
      <c r="K60" s="5"/>
      <c r="L60" s="5"/>
      <c r="M60" s="5"/>
    </row>
    <row r="61" spans="1:13" x14ac:dyDescent="0.35">
      <c r="A61" s="5"/>
      <c r="B61" s="5"/>
      <c r="C61" s="5"/>
      <c r="D61" s="5"/>
      <c r="E61" s="5"/>
      <c r="F61" s="5"/>
      <c r="G61" s="5"/>
      <c r="H61" s="5"/>
      <c r="I61" s="5"/>
      <c r="J61" s="5"/>
      <c r="K61" s="5"/>
      <c r="L61" s="5"/>
      <c r="M61" s="5"/>
    </row>
    <row r="62" spans="1:13" x14ac:dyDescent="0.35">
      <c r="A62" s="5"/>
      <c r="B62" s="5"/>
      <c r="C62" s="5"/>
      <c r="D62" s="5"/>
      <c r="E62" s="5"/>
      <c r="F62" s="5"/>
      <c r="G62" s="5"/>
      <c r="H62" s="5"/>
      <c r="I62" s="5"/>
      <c r="J62" s="5"/>
      <c r="K62" s="5"/>
      <c r="L62" s="5"/>
      <c r="M62" s="5"/>
    </row>
    <row r="63" spans="1:13" x14ac:dyDescent="0.35">
      <c r="A63" s="5"/>
      <c r="B63" s="5"/>
      <c r="C63" s="5"/>
      <c r="D63" s="5"/>
      <c r="E63" s="5"/>
      <c r="F63" s="5"/>
      <c r="G63" s="5"/>
      <c r="H63" s="5"/>
      <c r="I63" s="5"/>
      <c r="J63" s="5"/>
      <c r="K63" s="5"/>
      <c r="L63" s="5"/>
      <c r="M63" s="5"/>
    </row>
    <row r="64" spans="1:13" x14ac:dyDescent="0.35">
      <c r="A64" s="5"/>
      <c r="B64" s="5"/>
      <c r="C64" s="5"/>
      <c r="D64" s="5"/>
      <c r="E64" s="5"/>
      <c r="F64" s="5"/>
      <c r="G64" s="5"/>
      <c r="H64" s="5"/>
      <c r="I64" s="5"/>
      <c r="J64" s="5"/>
      <c r="K64" s="5"/>
      <c r="L64" s="5"/>
      <c r="M64" s="5"/>
    </row>
    <row r="65" spans="1:13" x14ac:dyDescent="0.35">
      <c r="A65" s="5"/>
      <c r="B65" s="5"/>
      <c r="C65" s="5"/>
      <c r="D65" s="5"/>
      <c r="E65" s="5"/>
      <c r="F65" s="5"/>
      <c r="G65" s="5"/>
      <c r="H65" s="5"/>
      <c r="I65" s="5"/>
      <c r="J65" s="5"/>
      <c r="K65" s="5"/>
      <c r="L65" s="5"/>
      <c r="M65" s="5"/>
    </row>
    <row r="66" spans="1:13" x14ac:dyDescent="0.35">
      <c r="A66" s="5"/>
      <c r="B66" s="5"/>
      <c r="C66" s="5"/>
      <c r="D66" s="5"/>
      <c r="E66" s="5"/>
      <c r="F66" s="5"/>
      <c r="G66" s="5"/>
      <c r="H66" s="5"/>
      <c r="I66" s="5"/>
      <c r="J66" s="5"/>
      <c r="K66" s="5"/>
      <c r="L66" s="5"/>
      <c r="M66" s="5"/>
    </row>
    <row r="67" spans="1:13" x14ac:dyDescent="0.35">
      <c r="A67" s="5"/>
      <c r="B67" s="5"/>
      <c r="C67" s="5"/>
      <c r="D67" s="5"/>
      <c r="E67" s="5"/>
      <c r="F67" s="5"/>
      <c r="G67" s="5"/>
      <c r="H67" s="5"/>
      <c r="I67" s="5"/>
      <c r="J67" s="5"/>
      <c r="K67" s="5"/>
      <c r="L67" s="5"/>
      <c r="M67" s="5"/>
    </row>
    <row r="68" spans="1:13" x14ac:dyDescent="0.35">
      <c r="A68" s="5"/>
      <c r="B68" s="5"/>
      <c r="C68" s="5"/>
      <c r="D68" s="5"/>
      <c r="E68" s="5"/>
      <c r="F68" s="5"/>
      <c r="G68" s="5"/>
      <c r="H68" s="5"/>
      <c r="I68" s="5"/>
      <c r="J68" s="5"/>
      <c r="K68" s="5"/>
      <c r="L68" s="5"/>
      <c r="M68" s="5"/>
    </row>
    <row r="69" spans="1:13" x14ac:dyDescent="0.35">
      <c r="A69" s="5"/>
      <c r="B69" s="5"/>
      <c r="C69" s="5"/>
      <c r="D69" s="5"/>
      <c r="E69" s="5"/>
      <c r="F69" s="5"/>
      <c r="G69" s="5"/>
      <c r="H69" s="5"/>
      <c r="I69" s="5"/>
      <c r="J69" s="5"/>
      <c r="K69" s="5"/>
      <c r="L69" s="5"/>
      <c r="M69" s="5"/>
    </row>
    <row r="70" spans="1:13" x14ac:dyDescent="0.35">
      <c r="A70" s="5"/>
      <c r="B70" s="5"/>
      <c r="C70" s="5"/>
      <c r="D70" s="5"/>
      <c r="E70" s="5"/>
      <c r="F70" s="5"/>
      <c r="G70" s="5"/>
      <c r="H70" s="5"/>
      <c r="I70" s="5"/>
      <c r="J70" s="5"/>
      <c r="K70" s="5"/>
      <c r="L70" s="5"/>
      <c r="M70" s="5"/>
    </row>
    <row r="71" spans="1:13" x14ac:dyDescent="0.35">
      <c r="A71" s="5"/>
      <c r="B71" s="5"/>
      <c r="C71" s="5"/>
      <c r="D71" s="5"/>
      <c r="E71" s="5"/>
      <c r="F71" s="5"/>
      <c r="G71" s="5"/>
      <c r="H71" s="5"/>
      <c r="I71" s="5"/>
      <c r="J71" s="5"/>
      <c r="K71" s="5"/>
      <c r="L71" s="5"/>
      <c r="M71" s="5"/>
    </row>
    <row r="72" spans="1:13" x14ac:dyDescent="0.35">
      <c r="A72" s="5"/>
      <c r="B72" s="5"/>
      <c r="C72" s="5"/>
      <c r="D72" s="5"/>
      <c r="E72" s="5"/>
      <c r="F72" s="5"/>
      <c r="G72" s="5"/>
      <c r="H72" s="5"/>
      <c r="I72" s="5"/>
      <c r="J72" s="5"/>
      <c r="K72" s="5"/>
      <c r="L72" s="5"/>
      <c r="M72" s="5"/>
    </row>
    <row r="73" spans="1:13" x14ac:dyDescent="0.35">
      <c r="A73" s="5"/>
      <c r="B73" s="5"/>
      <c r="C73" s="5"/>
      <c r="D73" s="5"/>
      <c r="E73" s="5"/>
      <c r="F73" s="5"/>
      <c r="G73" s="5"/>
      <c r="H73" s="5"/>
      <c r="I73" s="5"/>
      <c r="J73" s="5"/>
      <c r="K73" s="5"/>
      <c r="L73" s="5"/>
      <c r="M73" s="5"/>
    </row>
    <row r="74" spans="1:13" x14ac:dyDescent="0.35">
      <c r="A74" s="5"/>
      <c r="B74" s="5"/>
      <c r="C74" s="5"/>
      <c r="D74" s="5"/>
      <c r="E74" s="5"/>
      <c r="F74" s="5"/>
      <c r="G74" s="5"/>
      <c r="H74" s="5"/>
      <c r="I74" s="5"/>
      <c r="J74" s="5"/>
      <c r="K74" s="5"/>
      <c r="L74" s="5"/>
      <c r="M74" s="5"/>
    </row>
    <row r="75" spans="1:13" x14ac:dyDescent="0.35">
      <c r="A75" s="5"/>
      <c r="B75" s="5"/>
      <c r="C75" s="5"/>
      <c r="D75" s="5"/>
      <c r="E75" s="5"/>
      <c r="F75" s="5"/>
      <c r="G75" s="5"/>
      <c r="H75" s="5"/>
      <c r="I75" s="5"/>
      <c r="J75" s="5"/>
      <c r="K75" s="5"/>
      <c r="L75" s="5"/>
      <c r="M75" s="5"/>
    </row>
    <row r="76" spans="1:13" x14ac:dyDescent="0.35">
      <c r="A76" s="5"/>
      <c r="B76" s="5"/>
      <c r="C76" s="5"/>
      <c r="D76" s="5"/>
      <c r="E76" s="5"/>
      <c r="F76" s="5"/>
      <c r="G76" s="5"/>
      <c r="H76" s="5"/>
      <c r="I76" s="5"/>
      <c r="J76" s="5"/>
      <c r="K76" s="5"/>
      <c r="L76" s="5"/>
      <c r="M76" s="5"/>
    </row>
    <row r="77" spans="1:13" x14ac:dyDescent="0.35">
      <c r="A77" s="5"/>
      <c r="B77" s="5"/>
      <c r="C77" s="5"/>
      <c r="D77" s="5"/>
      <c r="E77" s="5"/>
      <c r="F77" s="5"/>
      <c r="G77" s="5"/>
      <c r="H77" s="5"/>
      <c r="I77" s="5"/>
      <c r="J77" s="5"/>
      <c r="K77" s="5"/>
      <c r="L77" s="5"/>
      <c r="M77" s="5"/>
    </row>
    <row r="78" spans="1:13" x14ac:dyDescent="0.35">
      <c r="A78" s="5"/>
      <c r="B78" s="5"/>
      <c r="C78" s="5"/>
      <c r="D78" s="5"/>
      <c r="E78" s="5"/>
      <c r="F78" s="5"/>
      <c r="G78" s="5"/>
      <c r="H78" s="5"/>
      <c r="I78" s="5"/>
      <c r="J78" s="5"/>
      <c r="K78" s="5"/>
      <c r="L78" s="5"/>
      <c r="M78" s="5"/>
    </row>
    <row r="79" spans="1:13" x14ac:dyDescent="0.35">
      <c r="A79" s="5"/>
      <c r="B79" s="5"/>
      <c r="C79" s="5"/>
      <c r="D79" s="5"/>
      <c r="E79" s="5"/>
      <c r="F79" s="5"/>
      <c r="G79" s="5"/>
      <c r="H79" s="5"/>
      <c r="I79" s="5"/>
      <c r="J79" s="5"/>
      <c r="K79" s="5"/>
      <c r="L79" s="5"/>
      <c r="M79" s="5"/>
    </row>
    <row r="80" spans="1:13" x14ac:dyDescent="0.35">
      <c r="A80" s="5"/>
      <c r="B80" s="5"/>
      <c r="C80" s="5"/>
      <c r="D80" s="5"/>
      <c r="E80" s="5"/>
      <c r="F80" s="5"/>
      <c r="G80" s="5"/>
      <c r="H80" s="5"/>
      <c r="I80" s="5"/>
      <c r="J80" s="5"/>
      <c r="K80" s="5"/>
      <c r="L80" s="5"/>
      <c r="M80" s="5"/>
    </row>
    <row r="81" spans="1:13" x14ac:dyDescent="0.35">
      <c r="A81" s="5"/>
      <c r="B81" s="5"/>
      <c r="C81" s="5"/>
      <c r="D81" s="5"/>
      <c r="E81" s="5"/>
      <c r="F81" s="5"/>
      <c r="G81" s="5"/>
      <c r="H81" s="5"/>
      <c r="I81" s="5"/>
      <c r="J81" s="5"/>
      <c r="K81" s="5"/>
      <c r="L81" s="5"/>
      <c r="M81" s="5"/>
    </row>
    <row r="82" spans="1:13" x14ac:dyDescent="0.35">
      <c r="A82" s="5"/>
      <c r="B82" s="5"/>
      <c r="C82" s="5"/>
      <c r="D82" s="5"/>
      <c r="E82" s="5"/>
      <c r="F82" s="5"/>
      <c r="G82" s="5"/>
      <c r="H82" s="5"/>
      <c r="I82" s="5"/>
      <c r="J82" s="5"/>
      <c r="K82" s="5"/>
      <c r="L82" s="5"/>
      <c r="M82" s="5"/>
    </row>
    <row r="83" spans="1:13" x14ac:dyDescent="0.35">
      <c r="A83" s="5"/>
      <c r="B83" s="5"/>
      <c r="C83" s="5"/>
      <c r="D83" s="5"/>
      <c r="E83" s="5"/>
      <c r="F83" s="5"/>
      <c r="G83" s="5"/>
      <c r="H83" s="5"/>
      <c r="I83" s="5"/>
      <c r="J83" s="5"/>
      <c r="K83" s="5"/>
      <c r="L83" s="5"/>
      <c r="M83" s="5"/>
    </row>
    <row r="84" spans="1:13" x14ac:dyDescent="0.35">
      <c r="A84" s="5"/>
      <c r="B84" s="5"/>
      <c r="C84" s="5"/>
      <c r="D84" s="5"/>
      <c r="E84" s="5"/>
      <c r="F84" s="5"/>
      <c r="G84" s="5"/>
      <c r="H84" s="5"/>
      <c r="I84" s="5"/>
      <c r="J84" s="5"/>
      <c r="K84" s="5"/>
      <c r="L84" s="5"/>
      <c r="M84" s="5"/>
    </row>
    <row r="85" spans="1:13" x14ac:dyDescent="0.35">
      <c r="A85" s="5"/>
      <c r="B85" s="5"/>
      <c r="C85" s="5"/>
      <c r="D85" s="5"/>
      <c r="E85" s="5"/>
      <c r="F85" s="5"/>
      <c r="G85" s="5"/>
      <c r="H85" s="5"/>
      <c r="I85" s="5"/>
      <c r="J85" s="5"/>
      <c r="K85" s="5"/>
      <c r="L85" s="5"/>
      <c r="M85" s="5"/>
    </row>
    <row r="86" spans="1:13" x14ac:dyDescent="0.35">
      <c r="A86" s="5"/>
      <c r="B86" s="5"/>
      <c r="C86" s="5"/>
      <c r="D86" s="5"/>
      <c r="E86" s="5"/>
      <c r="F86" s="5"/>
      <c r="G86" s="5"/>
      <c r="H86" s="5"/>
      <c r="I86" s="5"/>
      <c r="J86" s="5"/>
      <c r="K86" s="5"/>
      <c r="L86" s="5"/>
      <c r="M86" s="5"/>
    </row>
    <row r="87" spans="1:13" x14ac:dyDescent="0.35">
      <c r="A87" s="5"/>
      <c r="B87" s="5"/>
      <c r="C87" s="5"/>
      <c r="D87" s="5"/>
      <c r="E87" s="5"/>
      <c r="F87" s="5"/>
      <c r="G87" s="5"/>
      <c r="H87" s="5"/>
      <c r="I87" s="5"/>
      <c r="J87" s="5"/>
      <c r="K87" s="5"/>
      <c r="L87" s="5"/>
      <c r="M87" s="5"/>
    </row>
    <row r="88" spans="1:13" x14ac:dyDescent="0.35">
      <c r="A88" s="5"/>
      <c r="B88" s="5"/>
      <c r="C88" s="5"/>
      <c r="D88" s="5"/>
      <c r="E88" s="5"/>
      <c r="F88" s="5"/>
      <c r="G88" s="5"/>
      <c r="H88" s="5"/>
      <c r="I88" s="5"/>
      <c r="J88" s="5"/>
      <c r="K88" s="5"/>
      <c r="L88" s="5"/>
      <c r="M88" s="5"/>
    </row>
    <row r="89" spans="1:13" x14ac:dyDescent="0.35">
      <c r="A89" s="5"/>
      <c r="B89" s="5"/>
      <c r="C89" s="5"/>
      <c r="D89" s="5"/>
      <c r="E89" s="5"/>
      <c r="F89" s="5"/>
      <c r="G89" s="5"/>
      <c r="H89" s="5"/>
      <c r="I89" s="5"/>
      <c r="J89" s="5"/>
      <c r="K89" s="5"/>
      <c r="L89" s="5"/>
      <c r="M89" s="5"/>
    </row>
    <row r="90" spans="1:13" x14ac:dyDescent="0.35">
      <c r="A90" s="5"/>
      <c r="B90" s="5"/>
      <c r="C90" s="5"/>
      <c r="D90" s="5"/>
      <c r="E90" s="5"/>
      <c r="F90" s="5"/>
      <c r="G90" s="5"/>
      <c r="H90" s="5"/>
      <c r="I90" s="5"/>
      <c r="J90" s="5"/>
      <c r="K90" s="5"/>
      <c r="L90" s="5"/>
      <c r="M90" s="5"/>
    </row>
    <row r="91" spans="1:13" x14ac:dyDescent="0.35">
      <c r="A91" s="5"/>
      <c r="B91" s="5"/>
      <c r="C91" s="5"/>
      <c r="D91" s="5"/>
      <c r="E91" s="5"/>
      <c r="F91" s="5"/>
      <c r="G91" s="5"/>
      <c r="H91" s="5"/>
      <c r="I91" s="5"/>
      <c r="J91" s="5"/>
      <c r="K91" s="5"/>
      <c r="L91" s="5"/>
      <c r="M91" s="5"/>
    </row>
    <row r="92" spans="1:13" x14ac:dyDescent="0.35">
      <c r="A92" s="5"/>
      <c r="B92" s="5"/>
      <c r="C92" s="5"/>
      <c r="D92" s="5"/>
      <c r="E92" s="5"/>
      <c r="F92" s="5"/>
      <c r="G92" s="5"/>
      <c r="H92" s="5"/>
      <c r="I92" s="5"/>
      <c r="J92" s="5"/>
      <c r="K92" s="5"/>
      <c r="L92" s="5"/>
      <c r="M92" s="5"/>
    </row>
    <row r="93" spans="1:13" x14ac:dyDescent="0.35">
      <c r="A93" s="5"/>
      <c r="B93" s="5"/>
      <c r="C93" s="5"/>
      <c r="D93" s="5"/>
      <c r="E93" s="5"/>
      <c r="F93" s="5"/>
      <c r="G93" s="5"/>
      <c r="H93" s="5"/>
      <c r="I93" s="5"/>
      <c r="J93" s="5"/>
      <c r="K93" s="5"/>
      <c r="L93" s="5"/>
      <c r="M93" s="5"/>
    </row>
    <row r="94" spans="1:13" x14ac:dyDescent="0.35">
      <c r="A94" s="5"/>
      <c r="B94" s="5"/>
      <c r="C94" s="5"/>
      <c r="D94" s="5"/>
      <c r="E94" s="5"/>
      <c r="F94" s="5"/>
      <c r="G94" s="5"/>
      <c r="H94" s="5"/>
      <c r="I94" s="5"/>
      <c r="J94" s="5"/>
      <c r="K94" s="5"/>
      <c r="L94" s="5"/>
      <c r="M94" s="5"/>
    </row>
    <row r="95" spans="1:13" x14ac:dyDescent="0.35">
      <c r="A95" s="5"/>
      <c r="B95" s="5"/>
      <c r="C95" s="5"/>
      <c r="D95" s="5"/>
      <c r="E95" s="5"/>
      <c r="F95" s="5"/>
      <c r="G95" s="5"/>
      <c r="H95" s="5"/>
      <c r="I95" s="5"/>
      <c r="J95" s="5"/>
      <c r="K95" s="5"/>
      <c r="L95" s="5"/>
      <c r="M95" s="5"/>
    </row>
    <row r="96" spans="1:13" x14ac:dyDescent="0.35">
      <c r="A96" s="5"/>
      <c r="B96" s="5"/>
      <c r="C96" s="5"/>
      <c r="D96" s="5"/>
      <c r="E96" s="5"/>
      <c r="F96" s="5"/>
      <c r="G96" s="5"/>
      <c r="H96" s="5"/>
      <c r="I96" s="5"/>
      <c r="J96" s="5"/>
      <c r="K96" s="5"/>
      <c r="L96" s="5"/>
      <c r="M96" s="5"/>
    </row>
    <row r="97" spans="1:13" x14ac:dyDescent="0.35">
      <c r="A97" s="5"/>
      <c r="B97" s="5"/>
      <c r="C97" s="5"/>
      <c r="D97" s="5"/>
      <c r="E97" s="5"/>
      <c r="F97" s="5"/>
      <c r="G97" s="5"/>
      <c r="H97" s="5"/>
      <c r="I97" s="5"/>
      <c r="J97" s="5"/>
      <c r="K97" s="5"/>
      <c r="L97" s="5"/>
      <c r="M97" s="5"/>
    </row>
    <row r="98" spans="1:13" x14ac:dyDescent="0.35">
      <c r="A98" s="5"/>
      <c r="B98" s="5"/>
      <c r="C98" s="5"/>
      <c r="D98" s="5"/>
      <c r="E98" s="5"/>
      <c r="F98" s="5"/>
      <c r="G98" s="5"/>
      <c r="H98" s="5"/>
      <c r="I98" s="5"/>
      <c r="J98" s="5"/>
      <c r="K98" s="5"/>
      <c r="L98" s="5"/>
      <c r="M98" s="5"/>
    </row>
    <row r="99" spans="1:13" x14ac:dyDescent="0.35">
      <c r="A99" s="5"/>
      <c r="B99" s="5"/>
      <c r="C99" s="5"/>
      <c r="D99" s="5"/>
      <c r="E99" s="5"/>
      <c r="F99" s="5"/>
      <c r="G99" s="5"/>
      <c r="H99" s="5"/>
      <c r="I99" s="5"/>
      <c r="J99" s="5"/>
      <c r="K99" s="5"/>
      <c r="L99" s="5"/>
      <c r="M99" s="5"/>
    </row>
    <row r="100" spans="1:13" x14ac:dyDescent="0.35">
      <c r="A100" s="5"/>
      <c r="B100" s="5"/>
      <c r="C100" s="5"/>
      <c r="D100" s="5"/>
      <c r="E100" s="5"/>
      <c r="F100" s="5"/>
      <c r="G100" s="5"/>
      <c r="H100" s="5"/>
      <c r="I100" s="5"/>
      <c r="J100" s="5"/>
      <c r="K100" s="5"/>
      <c r="L100" s="5"/>
      <c r="M100" s="5"/>
    </row>
    <row r="101" spans="1:13" x14ac:dyDescent="0.35">
      <c r="A101" s="5"/>
      <c r="B101" s="5"/>
      <c r="C101" s="5"/>
      <c r="D101" s="5"/>
      <c r="E101" s="5"/>
      <c r="F101" s="5"/>
      <c r="G101" s="5"/>
      <c r="H101" s="5"/>
      <c r="I101" s="5"/>
      <c r="J101" s="5"/>
      <c r="K101" s="5"/>
      <c r="L101" s="5"/>
      <c r="M101" s="5"/>
    </row>
    <row r="102" spans="1:13" x14ac:dyDescent="0.35">
      <c r="A102" s="5"/>
      <c r="B102" s="5"/>
      <c r="C102" s="5"/>
      <c r="D102" s="5"/>
      <c r="E102" s="5"/>
      <c r="F102" s="5"/>
      <c r="G102" s="5"/>
      <c r="H102" s="5"/>
      <c r="I102" s="5"/>
      <c r="J102" s="5"/>
      <c r="K102" s="5"/>
      <c r="L102" s="5"/>
      <c r="M102" s="5"/>
    </row>
    <row r="103" spans="1:13" x14ac:dyDescent="0.35">
      <c r="A103" s="5"/>
      <c r="B103" s="5"/>
      <c r="C103" s="5"/>
      <c r="D103" s="5"/>
      <c r="E103" s="5"/>
      <c r="F103" s="5"/>
      <c r="G103" s="5"/>
      <c r="H103" s="5"/>
      <c r="I103" s="5"/>
      <c r="J103" s="5"/>
      <c r="K103" s="5"/>
      <c r="L103" s="5"/>
      <c r="M103" s="5"/>
    </row>
    <row r="104" spans="1:13" x14ac:dyDescent="0.35">
      <c r="A104" s="5"/>
      <c r="B104" s="5"/>
      <c r="C104" s="5"/>
      <c r="D104" s="5"/>
      <c r="E104" s="5"/>
      <c r="F104" s="5"/>
      <c r="G104" s="5"/>
      <c r="H104" s="5"/>
      <c r="I104" s="5"/>
      <c r="J104" s="5"/>
      <c r="K104" s="5"/>
      <c r="L104" s="5"/>
      <c r="M104" s="5"/>
    </row>
    <row r="105" spans="1:13" x14ac:dyDescent="0.35">
      <c r="A105" s="5"/>
      <c r="B105" s="5"/>
      <c r="C105" s="5"/>
      <c r="D105" s="5"/>
      <c r="E105" s="5"/>
      <c r="F105" s="5"/>
      <c r="G105" s="5"/>
      <c r="H105" s="5"/>
      <c r="I105" s="5"/>
      <c r="J105" s="5"/>
      <c r="K105" s="5"/>
      <c r="L105" s="5"/>
      <c r="M105" s="5"/>
    </row>
    <row r="106" spans="1:13" x14ac:dyDescent="0.35">
      <c r="A106" s="5"/>
      <c r="B106" s="5"/>
      <c r="C106" s="5"/>
      <c r="D106" s="5"/>
      <c r="E106" s="5"/>
      <c r="F106" s="5"/>
      <c r="G106" s="5"/>
      <c r="H106" s="5"/>
      <c r="I106" s="5"/>
      <c r="J106" s="5"/>
      <c r="K106" s="5"/>
      <c r="L106" s="5"/>
      <c r="M106" s="5"/>
    </row>
    <row r="107" spans="1:13" x14ac:dyDescent="0.35">
      <c r="A107" s="5"/>
      <c r="B107" s="5"/>
      <c r="C107" s="5"/>
      <c r="D107" s="5"/>
      <c r="E107" s="5"/>
      <c r="F107" s="5"/>
      <c r="G107" s="5"/>
      <c r="H107" s="5"/>
      <c r="I107" s="5"/>
      <c r="J107" s="5"/>
      <c r="K107" s="5"/>
      <c r="L107" s="5"/>
      <c r="M107" s="5"/>
    </row>
    <row r="108" spans="1:13" x14ac:dyDescent="0.35">
      <c r="A108" s="5"/>
      <c r="B108" s="5"/>
      <c r="C108" s="5"/>
      <c r="D108" s="5"/>
      <c r="E108" s="5"/>
      <c r="F108" s="5"/>
      <c r="G108" s="5"/>
      <c r="H108" s="5"/>
      <c r="I108" s="5"/>
      <c r="J108" s="5"/>
      <c r="K108" s="5"/>
      <c r="L108" s="5"/>
      <c r="M108" s="5"/>
    </row>
    <row r="109" spans="1:13" x14ac:dyDescent="0.35">
      <c r="A109" s="5"/>
      <c r="B109" s="5"/>
      <c r="C109" s="5"/>
      <c r="D109" s="5"/>
      <c r="E109" s="5"/>
      <c r="F109" s="5"/>
      <c r="G109" s="5"/>
      <c r="H109" s="5"/>
      <c r="I109" s="5"/>
      <c r="J109" s="5"/>
      <c r="K109" s="5"/>
      <c r="L109" s="5"/>
      <c r="M109" s="5"/>
    </row>
    <row r="110" spans="1:13" x14ac:dyDescent="0.35">
      <c r="A110" s="5"/>
      <c r="B110" s="5"/>
      <c r="C110" s="5"/>
      <c r="D110" s="5"/>
      <c r="E110" s="5"/>
      <c r="F110" s="5"/>
      <c r="G110" s="5"/>
      <c r="H110" s="5"/>
      <c r="I110" s="5"/>
      <c r="J110" s="5"/>
      <c r="K110" s="5"/>
      <c r="L110" s="5"/>
      <c r="M110" s="5"/>
    </row>
    <row r="111" spans="1:13" x14ac:dyDescent="0.35">
      <c r="A111" s="5"/>
      <c r="B111" s="5"/>
      <c r="C111" s="5"/>
      <c r="D111" s="5"/>
      <c r="E111" s="5"/>
      <c r="F111" s="5"/>
      <c r="G111" s="5"/>
      <c r="H111" s="5"/>
      <c r="I111" s="5"/>
      <c r="J111" s="5"/>
      <c r="K111" s="5"/>
      <c r="L111" s="5"/>
      <c r="M111" s="5"/>
    </row>
    <row r="112" spans="1:13" x14ac:dyDescent="0.35">
      <c r="A112" s="5"/>
      <c r="B112" s="5"/>
      <c r="C112" s="5"/>
      <c r="D112" s="5"/>
      <c r="E112" s="5"/>
      <c r="F112" s="5"/>
      <c r="G112" s="5"/>
      <c r="H112" s="5"/>
      <c r="I112" s="5"/>
      <c r="J112" s="5"/>
      <c r="K112" s="5"/>
      <c r="L112" s="5"/>
      <c r="M112" s="5"/>
    </row>
    <row r="113" spans="1:13" x14ac:dyDescent="0.35">
      <c r="A113" s="5"/>
      <c r="B113" s="5"/>
      <c r="C113" s="5"/>
      <c r="D113" s="5"/>
      <c r="E113" s="5"/>
      <c r="F113" s="5"/>
      <c r="G113" s="5"/>
      <c r="H113" s="5"/>
      <c r="I113" s="5"/>
      <c r="J113" s="5"/>
      <c r="K113" s="5"/>
      <c r="L113" s="5"/>
      <c r="M113" s="5"/>
    </row>
    <row r="114" spans="1:13" x14ac:dyDescent="0.35">
      <c r="A114" s="5"/>
      <c r="B114" s="5"/>
      <c r="C114" s="5"/>
      <c r="D114" s="5"/>
      <c r="E114" s="5"/>
      <c r="F114" s="5"/>
      <c r="G114" s="5"/>
      <c r="H114" s="5"/>
      <c r="I114" s="5"/>
      <c r="J114" s="5"/>
      <c r="K114" s="5"/>
      <c r="L114" s="5"/>
      <c r="M114" s="5"/>
    </row>
    <row r="115" spans="1:13" x14ac:dyDescent="0.35">
      <c r="A115" s="5"/>
      <c r="B115" s="5"/>
      <c r="C115" s="5"/>
      <c r="D115" s="5"/>
      <c r="E115" s="5"/>
      <c r="F115" s="5"/>
      <c r="G115" s="5"/>
      <c r="H115" s="5"/>
      <c r="I115" s="5"/>
      <c r="J115" s="5"/>
      <c r="K115" s="5"/>
      <c r="L115" s="5"/>
      <c r="M115" s="5"/>
    </row>
    <row r="116" spans="1:13" x14ac:dyDescent="0.35">
      <c r="A116" s="5"/>
      <c r="B116" s="5"/>
      <c r="C116" s="5"/>
      <c r="D116" s="5"/>
      <c r="E116" s="5"/>
      <c r="F116" s="5"/>
      <c r="G116" s="5"/>
      <c r="H116" s="5"/>
      <c r="I116" s="5"/>
      <c r="J116" s="5"/>
      <c r="K116" s="5"/>
      <c r="L116" s="5"/>
      <c r="M116" s="5"/>
    </row>
    <row r="117" spans="1:13" x14ac:dyDescent="0.35">
      <c r="A117" s="5"/>
      <c r="B117" s="5"/>
      <c r="C117" s="5"/>
      <c r="D117" s="5"/>
      <c r="E117" s="5"/>
      <c r="F117" s="5"/>
      <c r="G117" s="5"/>
      <c r="H117" s="5"/>
      <c r="I117" s="5"/>
      <c r="J117" s="5"/>
      <c r="K117" s="5"/>
      <c r="L117" s="5"/>
      <c r="M117" s="5"/>
    </row>
    <row r="118" spans="1:13" x14ac:dyDescent="0.35">
      <c r="A118" s="5"/>
      <c r="B118" s="5"/>
      <c r="C118" s="5"/>
      <c r="D118" s="5"/>
      <c r="E118" s="5"/>
      <c r="F118" s="5"/>
      <c r="G118" s="5"/>
      <c r="H118" s="5"/>
      <c r="I118" s="5"/>
      <c r="J118" s="5"/>
      <c r="K118" s="5"/>
      <c r="L118" s="5"/>
      <c r="M118" s="5"/>
    </row>
    <row r="119" spans="1:13" x14ac:dyDescent="0.35">
      <c r="A119" s="5"/>
      <c r="B119" s="5"/>
      <c r="C119" s="5"/>
      <c r="D119" s="5"/>
      <c r="E119" s="5"/>
      <c r="F119" s="5"/>
      <c r="G119" s="5"/>
      <c r="H119" s="5"/>
      <c r="I119" s="5"/>
      <c r="J119" s="5"/>
      <c r="K119" s="5"/>
      <c r="L119" s="5"/>
      <c r="M119" s="5"/>
    </row>
    <row r="120" spans="1:13" x14ac:dyDescent="0.35">
      <c r="A120" s="5"/>
      <c r="B120" s="5"/>
      <c r="C120" s="5"/>
      <c r="D120" s="5"/>
      <c r="E120" s="5"/>
      <c r="F120" s="5"/>
      <c r="G120" s="5"/>
      <c r="H120" s="5"/>
      <c r="I120" s="5"/>
      <c r="J120" s="5"/>
      <c r="K120" s="5"/>
      <c r="L120" s="5"/>
      <c r="M120" s="5"/>
    </row>
    <row r="121" spans="1:13" x14ac:dyDescent="0.35">
      <c r="A121" s="5"/>
      <c r="B121" s="5"/>
      <c r="C121" s="5"/>
      <c r="D121" s="5"/>
      <c r="E121" s="5"/>
      <c r="F121" s="5"/>
      <c r="G121" s="5"/>
      <c r="H121" s="5"/>
      <c r="I121" s="5"/>
      <c r="J121" s="5"/>
      <c r="K121" s="5"/>
      <c r="L121" s="5"/>
      <c r="M121" s="5"/>
    </row>
    <row r="122" spans="1:13" x14ac:dyDescent="0.35">
      <c r="A122" s="5"/>
      <c r="B122" s="5"/>
      <c r="C122" s="5"/>
      <c r="D122" s="5"/>
      <c r="E122" s="5"/>
      <c r="F122" s="5"/>
      <c r="G122" s="5"/>
      <c r="H122" s="5"/>
      <c r="I122" s="5"/>
      <c r="J122" s="5"/>
      <c r="K122" s="5"/>
      <c r="L122" s="5"/>
      <c r="M122" s="5"/>
    </row>
    <row r="123" spans="1:13" x14ac:dyDescent="0.35">
      <c r="A123" s="5"/>
      <c r="B123" s="5"/>
      <c r="C123" s="5"/>
      <c r="D123" s="5"/>
      <c r="E123" s="5"/>
      <c r="F123" s="5"/>
      <c r="G123" s="5"/>
      <c r="H123" s="5"/>
      <c r="I123" s="5"/>
      <c r="J123" s="5"/>
      <c r="K123" s="5"/>
      <c r="L123" s="5"/>
      <c r="M123" s="5"/>
    </row>
    <row r="124" spans="1:13" x14ac:dyDescent="0.35">
      <c r="A124" s="5"/>
      <c r="B124" s="5"/>
      <c r="C124" s="5"/>
      <c r="D124" s="5"/>
      <c r="E124" s="5"/>
      <c r="F124" s="5"/>
      <c r="G124" s="5"/>
      <c r="H124" s="5"/>
      <c r="I124" s="5"/>
      <c r="J124" s="5"/>
      <c r="K124" s="5"/>
      <c r="L124" s="5"/>
      <c r="M124" s="5"/>
    </row>
    <row r="125" spans="1:13" x14ac:dyDescent="0.35">
      <c r="A125" s="5"/>
      <c r="B125" s="5"/>
      <c r="C125" s="5"/>
      <c r="D125" s="5"/>
      <c r="E125" s="5"/>
      <c r="F125" s="5"/>
      <c r="G125" s="5"/>
      <c r="H125" s="5"/>
      <c r="I125" s="5"/>
      <c r="J125" s="5"/>
      <c r="K125" s="5"/>
      <c r="L125" s="5"/>
      <c r="M125" s="5"/>
    </row>
    <row r="126" spans="1:13" x14ac:dyDescent="0.35">
      <c r="A126" s="5"/>
      <c r="B126" s="5"/>
      <c r="C126" s="5"/>
      <c r="D126" s="5"/>
      <c r="E126" s="5"/>
      <c r="F126" s="5"/>
      <c r="G126" s="5"/>
      <c r="H126" s="5"/>
      <c r="I126" s="5"/>
      <c r="J126" s="5"/>
      <c r="K126" s="5"/>
      <c r="L126" s="5"/>
      <c r="M126" s="5"/>
    </row>
    <row r="127" spans="1:13" x14ac:dyDescent="0.35">
      <c r="A127" s="5"/>
      <c r="B127" s="5"/>
      <c r="C127" s="5"/>
      <c r="D127" s="5"/>
      <c r="E127" s="5"/>
      <c r="F127" s="5"/>
      <c r="G127" s="5"/>
      <c r="H127" s="5"/>
      <c r="I127" s="5"/>
      <c r="J127" s="5"/>
      <c r="K127" s="5"/>
      <c r="L127" s="5"/>
      <c r="M127" s="5"/>
    </row>
    <row r="128" spans="1:13" x14ac:dyDescent="0.35">
      <c r="A128" s="5"/>
      <c r="B128" s="5"/>
      <c r="C128" s="5"/>
      <c r="D128" s="5"/>
      <c r="E128" s="5"/>
      <c r="F128" s="5"/>
      <c r="G128" s="5"/>
      <c r="H128" s="5"/>
      <c r="I128" s="5"/>
      <c r="J128" s="5"/>
      <c r="K128" s="5"/>
      <c r="L128" s="5"/>
      <c r="M128" s="5"/>
    </row>
    <row r="129" spans="1:13" x14ac:dyDescent="0.35">
      <c r="A129" s="5"/>
      <c r="B129" s="5"/>
      <c r="C129" s="5"/>
      <c r="D129" s="5"/>
      <c r="E129" s="5"/>
      <c r="F129" s="5"/>
      <c r="G129" s="5"/>
      <c r="H129" s="5"/>
      <c r="I129" s="5"/>
      <c r="J129" s="5"/>
      <c r="K129" s="5"/>
      <c r="L129" s="5"/>
      <c r="M129" s="5"/>
    </row>
    <row r="130" spans="1:13" x14ac:dyDescent="0.35">
      <c r="A130" s="5"/>
      <c r="B130" s="5"/>
      <c r="C130" s="5"/>
      <c r="D130" s="5"/>
      <c r="E130" s="5"/>
      <c r="F130" s="5"/>
      <c r="G130" s="5"/>
      <c r="H130" s="5"/>
      <c r="I130" s="5"/>
      <c r="J130" s="5"/>
      <c r="K130" s="5"/>
      <c r="L130" s="5"/>
      <c r="M130" s="5"/>
    </row>
    <row r="131" spans="1:13" x14ac:dyDescent="0.35">
      <c r="A131" s="5"/>
      <c r="B131" s="5"/>
      <c r="C131" s="5"/>
      <c r="D131" s="5"/>
      <c r="E131" s="5"/>
      <c r="F131" s="5"/>
      <c r="G131" s="5"/>
      <c r="H131" s="5"/>
      <c r="I131" s="5"/>
      <c r="J131" s="5"/>
      <c r="K131" s="5"/>
      <c r="L131" s="5"/>
      <c r="M131" s="5"/>
    </row>
    <row r="132" spans="1:13" x14ac:dyDescent="0.35">
      <c r="A132" s="5"/>
      <c r="B132" s="5"/>
      <c r="C132" s="5"/>
      <c r="D132" s="5"/>
      <c r="E132" s="5"/>
      <c r="F132" s="5"/>
      <c r="G132" s="5"/>
      <c r="H132" s="5"/>
      <c r="I132" s="5"/>
      <c r="J132" s="5"/>
      <c r="K132" s="5"/>
      <c r="L132" s="5"/>
      <c r="M132" s="5"/>
    </row>
    <row r="133" spans="1:13" x14ac:dyDescent="0.35">
      <c r="A133" s="5"/>
      <c r="B133" s="5"/>
      <c r="C133" s="5"/>
      <c r="D133" s="5"/>
      <c r="E133" s="5"/>
      <c r="F133" s="5"/>
      <c r="G133" s="5"/>
      <c r="H133" s="5"/>
      <c r="I133" s="5"/>
      <c r="J133" s="5"/>
      <c r="K133" s="5"/>
      <c r="L133" s="5"/>
      <c r="M133" s="5"/>
    </row>
    <row r="134" spans="1:13" x14ac:dyDescent="0.35">
      <c r="A134" s="5"/>
      <c r="B134" s="5"/>
      <c r="C134" s="5"/>
      <c r="D134" s="5"/>
      <c r="E134" s="5"/>
      <c r="F134" s="5"/>
      <c r="G134" s="5"/>
      <c r="H134" s="5"/>
      <c r="I134" s="5"/>
      <c r="J134" s="5"/>
      <c r="K134" s="5"/>
      <c r="L134" s="5"/>
      <c r="M134" s="5"/>
    </row>
    <row r="135" spans="1:13" x14ac:dyDescent="0.35">
      <c r="A135" s="5"/>
      <c r="B135" s="5"/>
      <c r="C135" s="5"/>
      <c r="D135" s="5"/>
      <c r="E135" s="5"/>
      <c r="F135" s="5"/>
      <c r="G135" s="5"/>
      <c r="H135" s="5"/>
      <c r="I135" s="5"/>
      <c r="J135" s="5"/>
      <c r="K135" s="5"/>
      <c r="L135" s="5"/>
      <c r="M135" s="5"/>
    </row>
    <row r="136" spans="1:13" x14ac:dyDescent="0.35">
      <c r="A136" s="5"/>
      <c r="B136" s="5"/>
      <c r="C136" s="5"/>
      <c r="D136" s="5"/>
      <c r="E136" s="5"/>
      <c r="F136" s="5"/>
      <c r="G136" s="5"/>
      <c r="H136" s="5"/>
      <c r="I136" s="5"/>
      <c r="J136" s="5"/>
      <c r="K136" s="5"/>
      <c r="L136" s="5"/>
      <c r="M136" s="5"/>
    </row>
    <row r="137" spans="1:13" x14ac:dyDescent="0.35">
      <c r="A137" s="5"/>
      <c r="B137" s="5"/>
      <c r="C137" s="5"/>
      <c r="D137" s="5"/>
      <c r="E137" s="5"/>
      <c r="F137" s="5"/>
      <c r="G137" s="5"/>
      <c r="H137" s="5"/>
      <c r="I137" s="5"/>
      <c r="J137" s="5"/>
      <c r="K137" s="5"/>
      <c r="L137" s="5"/>
      <c r="M137" s="5"/>
    </row>
    <row r="138" spans="1:13" x14ac:dyDescent="0.35">
      <c r="A138" s="5"/>
      <c r="B138" s="5"/>
      <c r="C138" s="5"/>
      <c r="D138" s="5"/>
      <c r="E138" s="5"/>
      <c r="F138" s="5"/>
      <c r="G138" s="5"/>
      <c r="H138" s="5"/>
      <c r="I138" s="5"/>
      <c r="J138" s="5"/>
      <c r="K138" s="5"/>
      <c r="L138" s="5"/>
      <c r="M138" s="5"/>
    </row>
    <row r="139" spans="1:13" x14ac:dyDescent="0.35">
      <c r="A139" s="5"/>
      <c r="B139" s="5"/>
      <c r="C139" s="5"/>
      <c r="D139" s="5"/>
      <c r="E139" s="5"/>
      <c r="F139" s="5"/>
      <c r="G139" s="5"/>
      <c r="H139" s="5"/>
      <c r="I139" s="5"/>
      <c r="J139" s="5"/>
      <c r="K139" s="5"/>
      <c r="L139" s="5"/>
      <c r="M139" s="5"/>
    </row>
    <row r="140" spans="1:13" x14ac:dyDescent="0.35">
      <c r="B140" s="5"/>
    </row>
  </sheetData>
  <autoFilter ref="A1:N208" xr:uid="{00000000-0001-0000-0100-000000000000}">
    <sortState xmlns:xlrd2="http://schemas.microsoft.com/office/spreadsheetml/2017/richdata2" ref="A2:M140">
      <sortCondition ref="B1:B208"/>
    </sortState>
  </autoFilter>
  <dataValidations count="1">
    <dataValidation type="textLength" allowBlank="1" showInputMessage="1" showErrorMessage="1" sqref="B9:B17" xr:uid="{77F0CF53-4009-451D-A454-D0DC6F886277}">
      <formula1>3</formula1>
      <formula2>300</formula2>
    </dataValidation>
  </dataValidations>
  <hyperlinks>
    <hyperlink ref="K20" r:id="rId1" xr:uid="{0404A626-B659-4635-A8AD-8BEE80AD46C0}"/>
    <hyperlink ref="I20" r:id="rId2" xr:uid="{95F0255A-3881-4453-893D-46CF0E8FA19C}"/>
    <hyperlink ref="K42" r:id="rId3" xr:uid="{A30D6171-39CB-429F-9F32-124A8D73A8CD}"/>
    <hyperlink ref="I42" r:id="rId4" xr:uid="{261D3EF5-3C98-4C8F-9516-0426115DF240}"/>
    <hyperlink ref="I4" r:id="rId5" xr:uid="{319918FC-7586-415F-BC6E-15D223D1F5BE}"/>
    <hyperlink ref="K4" r:id="rId6" xr:uid="{56051642-D1F1-4888-B76E-46906C72E619}"/>
    <hyperlink ref="K16" r:id="rId7" xr:uid="{D3E9738F-D13F-4D94-A5BC-D990B86EFECC}"/>
    <hyperlink ref="K8" r:id="rId8" xr:uid="{93DA48A1-4968-40F7-A6F1-0E8937755B34}"/>
    <hyperlink ref="I8" r:id="rId9" xr:uid="{25E08B8D-A7CE-4CC0-84AC-D9669710DB79}"/>
    <hyperlink ref="I10" r:id="rId10" xr:uid="{92A65B1F-40B8-48DC-B91C-512A6AA0A095}"/>
    <hyperlink ref="K10" r:id="rId11" xr:uid="{EC983E64-F095-4A5E-84FE-909158581E54}"/>
    <hyperlink ref="K26" r:id="rId12" xr:uid="{8BCE30B6-9FC2-4295-BF4C-311B491A1259}"/>
    <hyperlink ref="K6" r:id="rId13" xr:uid="{A4D1B6A1-7EF5-42D8-B971-BCBE955AC317}"/>
    <hyperlink ref="I2" r:id="rId14" xr:uid="{8C47B455-D2F4-4D36-9E2A-321983082C20}"/>
    <hyperlink ref="K2" r:id="rId15" xr:uid="{028367E5-AD83-4C13-8D32-54BA4665AEBD}"/>
    <hyperlink ref="I3" r:id="rId16" xr:uid="{027EDD25-BF59-4140-AF2A-7290FCAE3F2C}"/>
    <hyperlink ref="G5" r:id="rId17" display="Nadia.Algera@carbontrust.com" xr:uid="{35C89F58-9436-4084-9006-5E81F72C7AA6}"/>
    <hyperlink ref="I5" r:id="rId18" xr:uid="{0615704E-D694-465E-82DC-A21D7ED9E951}"/>
    <hyperlink ref="I32" r:id="rId19" display="vnkirote@verst.earth" xr:uid="{F893F6CA-0A0B-4AF9-A161-7A961CB96674}"/>
    <hyperlink ref="I37" r:id="rId20" display="bora.akpinar@mrc-tr.com" xr:uid="{016049B0-D8D6-47B5-B88D-D61A91A8FD5E}"/>
    <hyperlink ref="I54" r:id="rId21" display="sarah@triangle-environmental.com " xr:uid="{A3915D21-7512-4350-91C4-4B2AC1C411E2}"/>
    <hyperlink ref="I25" r:id="rId22" display="esther.zulu@prs.org.zm" xr:uid="{B13036DF-FF5C-4C9C-B6C8-C531F4B00278}"/>
    <hyperlink ref="I58" r:id="rId23" display="l.kahlen@newclimate.org" xr:uid="{342CB220-DAF1-4A69-880C-B5A68178C39C}"/>
    <hyperlink ref="K58" r:id="rId24" display="https://newclimate.org/" xr:uid="{4993C731-577D-4F6A-8A41-61540BA4ECE4}"/>
    <hyperlink ref="I19" r:id="rId25" xr:uid="{3EE0F6DD-2544-4689-8708-50DC67EB0F36}"/>
  </hyperlinks>
  <pageMargins left="0.7" right="0.7" top="0.75" bottom="0.75" header="0.3" footer="0.3"/>
  <pageSetup orientation="portrait" r:id="rId26"/>
  <legacyDrawing r:id="rId2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73C38-11CB-477C-8A52-E0AB71B1538A}">
  <dimension ref="A1:J83"/>
  <sheetViews>
    <sheetView tabSelected="1" topLeftCell="D15" workbookViewId="0">
      <selection activeCell="H35" sqref="H34:H35"/>
    </sheetView>
  </sheetViews>
  <sheetFormatPr defaultColWidth="9.1796875" defaultRowHeight="10.5" x14ac:dyDescent="0.35"/>
  <cols>
    <col min="1" max="1" width="4" style="2" customWidth="1"/>
    <col min="2" max="2" width="17.54296875" style="2" customWidth="1"/>
    <col min="3" max="3" width="36.453125" style="2" customWidth="1"/>
    <col min="4" max="4" width="32.54296875" style="2" customWidth="1"/>
    <col min="5" max="5" width="25.81640625" style="2" customWidth="1"/>
    <col min="6" max="6" width="37.81640625" style="2" customWidth="1"/>
    <col min="7" max="7" width="33.54296875" style="2" customWidth="1"/>
    <col min="8" max="9" width="31.453125" style="2" customWidth="1"/>
    <col min="10" max="10" width="12.54296875" style="2" customWidth="1"/>
    <col min="11" max="16384" width="9.1796875" style="2"/>
  </cols>
  <sheetData>
    <row r="1" spans="1:10" ht="15.65" customHeight="1" x14ac:dyDescent="0.35">
      <c r="A1" s="15" t="s">
        <v>124</v>
      </c>
      <c r="B1" s="15" t="s">
        <v>317</v>
      </c>
      <c r="C1" s="15" t="s">
        <v>318</v>
      </c>
      <c r="D1" s="15" t="s">
        <v>319</v>
      </c>
      <c r="E1" s="15" t="s">
        <v>320</v>
      </c>
      <c r="F1" s="15" t="s">
        <v>132</v>
      </c>
      <c r="G1" s="15" t="s">
        <v>321</v>
      </c>
      <c r="H1" s="15" t="s">
        <v>322</v>
      </c>
      <c r="I1" s="15" t="s">
        <v>323</v>
      </c>
      <c r="J1" s="15" t="s">
        <v>136</v>
      </c>
    </row>
    <row r="2" spans="1:10" x14ac:dyDescent="0.35">
      <c r="A2" s="16">
        <v>1</v>
      </c>
      <c r="B2" s="16" t="s">
        <v>324</v>
      </c>
      <c r="C2" s="16" t="s">
        <v>325</v>
      </c>
      <c r="D2" s="16" t="s">
        <v>21</v>
      </c>
      <c r="E2" s="16" t="s">
        <v>116</v>
      </c>
      <c r="F2" s="16"/>
      <c r="G2" s="16"/>
      <c r="H2" s="16"/>
      <c r="I2" s="16"/>
      <c r="J2" s="16" t="s">
        <v>145</v>
      </c>
    </row>
    <row r="3" spans="1:10" x14ac:dyDescent="0.35">
      <c r="A3" s="16">
        <v>2</v>
      </c>
      <c r="B3" s="16" t="s">
        <v>326</v>
      </c>
      <c r="C3" s="16"/>
      <c r="D3" s="16"/>
      <c r="E3" s="16"/>
      <c r="F3" s="16"/>
      <c r="G3" s="16"/>
      <c r="H3" s="16"/>
      <c r="I3" s="16"/>
      <c r="J3" s="16"/>
    </row>
    <row r="4" spans="1:10" x14ac:dyDescent="0.35">
      <c r="A4" s="16">
        <v>3</v>
      </c>
      <c r="B4" s="16" t="s">
        <v>327</v>
      </c>
      <c r="C4" s="16" t="s">
        <v>21</v>
      </c>
      <c r="D4" s="16" t="s">
        <v>21</v>
      </c>
      <c r="E4" s="16" t="s">
        <v>116</v>
      </c>
      <c r="F4" s="16"/>
      <c r="G4" s="16"/>
      <c r="H4" s="16"/>
      <c r="I4" s="16"/>
      <c r="J4" s="16" t="s">
        <v>145</v>
      </c>
    </row>
    <row r="5" spans="1:10" x14ac:dyDescent="0.35">
      <c r="A5" s="16">
        <v>4</v>
      </c>
      <c r="B5" s="16" t="s">
        <v>328</v>
      </c>
      <c r="C5" s="16" t="s">
        <v>329</v>
      </c>
      <c r="D5" s="16" t="s">
        <v>39</v>
      </c>
      <c r="E5" s="16" t="s">
        <v>24</v>
      </c>
      <c r="F5" s="17" t="s">
        <v>330</v>
      </c>
      <c r="G5" s="18" t="s">
        <v>331</v>
      </c>
      <c r="H5" s="16" t="s">
        <v>145</v>
      </c>
      <c r="I5" s="16" t="s">
        <v>332</v>
      </c>
      <c r="J5" s="16" t="s">
        <v>145</v>
      </c>
    </row>
    <row r="6" spans="1:10" x14ac:dyDescent="0.35">
      <c r="A6" s="16">
        <v>5</v>
      </c>
      <c r="B6" s="16" t="s">
        <v>333</v>
      </c>
      <c r="C6" s="16" t="s">
        <v>334</v>
      </c>
      <c r="D6" s="16" t="s">
        <v>21</v>
      </c>
      <c r="E6" s="16" t="s">
        <v>335</v>
      </c>
      <c r="F6" s="16" t="s">
        <v>336</v>
      </c>
      <c r="G6" s="19" t="s">
        <v>337</v>
      </c>
      <c r="H6" s="16" t="s">
        <v>145</v>
      </c>
      <c r="I6" s="16" t="s">
        <v>338</v>
      </c>
      <c r="J6" s="16" t="s">
        <v>145</v>
      </c>
    </row>
    <row r="7" spans="1:10" x14ac:dyDescent="0.35">
      <c r="A7" s="16">
        <v>6</v>
      </c>
      <c r="B7" s="16" t="s">
        <v>339</v>
      </c>
      <c r="C7" s="16" t="s">
        <v>340</v>
      </c>
      <c r="D7" s="16" t="s">
        <v>341</v>
      </c>
      <c r="E7" s="16" t="s">
        <v>342</v>
      </c>
      <c r="F7" s="16"/>
      <c r="G7" s="16"/>
      <c r="H7" s="16"/>
      <c r="I7" s="16"/>
      <c r="J7" s="16" t="s">
        <v>145</v>
      </c>
    </row>
    <row r="8" spans="1:10" x14ac:dyDescent="0.35">
      <c r="A8" s="16">
        <v>7</v>
      </c>
      <c r="B8" s="16" t="s">
        <v>343</v>
      </c>
      <c r="C8" s="16"/>
      <c r="D8" s="16"/>
      <c r="E8" s="16"/>
      <c r="F8" s="16"/>
      <c r="G8" s="16"/>
      <c r="H8" s="16"/>
      <c r="I8" s="16"/>
      <c r="J8" s="16"/>
    </row>
    <row r="9" spans="1:10" x14ac:dyDescent="0.35">
      <c r="A9" s="16">
        <v>8</v>
      </c>
      <c r="B9" s="16" t="s">
        <v>344</v>
      </c>
      <c r="C9" s="16" t="s">
        <v>340</v>
      </c>
      <c r="D9" s="16" t="s">
        <v>341</v>
      </c>
      <c r="E9" s="16" t="s">
        <v>345</v>
      </c>
      <c r="F9" s="16"/>
      <c r="G9" s="16"/>
      <c r="H9" s="16"/>
      <c r="I9" s="16"/>
      <c r="J9" s="16" t="s">
        <v>145</v>
      </c>
    </row>
    <row r="10" spans="1:10" x14ac:dyDescent="0.35">
      <c r="A10" s="16">
        <v>9</v>
      </c>
      <c r="B10" s="16" t="s">
        <v>346</v>
      </c>
      <c r="C10" s="16" t="s">
        <v>21</v>
      </c>
      <c r="D10" s="16" t="s">
        <v>21</v>
      </c>
      <c r="E10" s="16" t="s">
        <v>178</v>
      </c>
      <c r="F10" s="16"/>
      <c r="G10" s="16"/>
      <c r="H10" s="16"/>
      <c r="I10" s="16"/>
      <c r="J10" s="16" t="s">
        <v>145</v>
      </c>
    </row>
    <row r="11" spans="1:10" x14ac:dyDescent="0.35">
      <c r="A11" s="16">
        <v>10</v>
      </c>
      <c r="B11" s="16" t="s">
        <v>347</v>
      </c>
      <c r="C11" s="16" t="s">
        <v>21</v>
      </c>
      <c r="D11" s="16" t="s">
        <v>21</v>
      </c>
      <c r="E11" s="16" t="s">
        <v>24</v>
      </c>
      <c r="F11" s="16" t="s">
        <v>348</v>
      </c>
      <c r="G11" s="16"/>
      <c r="H11" s="16"/>
      <c r="I11" s="16"/>
      <c r="J11" s="16"/>
    </row>
    <row r="12" spans="1:10" x14ac:dyDescent="0.35">
      <c r="A12" s="16">
        <v>11</v>
      </c>
      <c r="B12" s="16" t="s">
        <v>349</v>
      </c>
      <c r="C12" s="16"/>
      <c r="D12" s="16"/>
      <c r="E12" s="16"/>
      <c r="F12" s="16"/>
      <c r="G12" s="16"/>
      <c r="H12" s="16"/>
      <c r="I12" s="16"/>
      <c r="J12" s="16"/>
    </row>
    <row r="13" spans="1:10" x14ac:dyDescent="0.35">
      <c r="A13" s="16">
        <v>12</v>
      </c>
      <c r="B13" s="14" t="s">
        <v>107</v>
      </c>
      <c r="C13" s="16"/>
      <c r="D13" s="16"/>
      <c r="E13" s="16"/>
      <c r="F13" s="17"/>
      <c r="G13" s="20"/>
      <c r="H13" s="16"/>
      <c r="I13" s="16"/>
      <c r="J13" s="16"/>
    </row>
    <row r="14" spans="1:10" x14ac:dyDescent="0.35">
      <c r="A14" s="16">
        <v>13</v>
      </c>
      <c r="B14" s="16" t="s">
        <v>350</v>
      </c>
      <c r="C14" s="16" t="s">
        <v>351</v>
      </c>
      <c r="D14" s="16" t="s">
        <v>352</v>
      </c>
      <c r="E14" s="16" t="s">
        <v>24</v>
      </c>
      <c r="F14" s="21" t="s">
        <v>142</v>
      </c>
      <c r="G14" s="16"/>
      <c r="H14" s="16" t="s">
        <v>145</v>
      </c>
      <c r="I14" s="16"/>
      <c r="J14" s="16" t="s">
        <v>145</v>
      </c>
    </row>
    <row r="15" spans="1:10" x14ac:dyDescent="0.35">
      <c r="A15" s="16">
        <v>14</v>
      </c>
      <c r="B15" s="16" t="s">
        <v>353</v>
      </c>
      <c r="C15" s="16"/>
      <c r="D15" s="16"/>
      <c r="E15" s="16"/>
      <c r="F15" s="16"/>
      <c r="G15" s="16"/>
      <c r="H15" s="16"/>
      <c r="I15" s="16"/>
      <c r="J15" s="16"/>
    </row>
    <row r="16" spans="1:10" x14ac:dyDescent="0.35">
      <c r="A16" s="16">
        <v>15</v>
      </c>
      <c r="B16" s="16" t="s">
        <v>354</v>
      </c>
      <c r="C16" s="16" t="s">
        <v>325</v>
      </c>
      <c r="D16" s="16" t="s">
        <v>21</v>
      </c>
      <c r="E16" s="16" t="s">
        <v>24</v>
      </c>
      <c r="F16" s="21" t="s">
        <v>355</v>
      </c>
      <c r="G16" s="22" t="s">
        <v>356</v>
      </c>
      <c r="H16" s="16" t="s">
        <v>145</v>
      </c>
      <c r="I16" s="16"/>
      <c r="J16" s="16" t="s">
        <v>145</v>
      </c>
    </row>
    <row r="17" spans="1:10" x14ac:dyDescent="0.35">
      <c r="A17" s="16">
        <v>64</v>
      </c>
      <c r="B17" s="16" t="s">
        <v>357</v>
      </c>
      <c r="C17" s="16" t="s">
        <v>21</v>
      </c>
      <c r="D17" s="16" t="s">
        <v>21</v>
      </c>
      <c r="E17" s="16" t="s">
        <v>71</v>
      </c>
      <c r="F17" s="21" t="s">
        <v>358</v>
      </c>
      <c r="G17" s="16" t="s">
        <v>359</v>
      </c>
      <c r="H17" s="16" t="s">
        <v>139</v>
      </c>
      <c r="I17" s="16"/>
      <c r="J17" s="16" t="s">
        <v>145</v>
      </c>
    </row>
    <row r="18" spans="1:10" x14ac:dyDescent="0.35">
      <c r="A18" s="16">
        <v>16</v>
      </c>
      <c r="B18" s="14" t="s">
        <v>360</v>
      </c>
      <c r="C18" s="16"/>
      <c r="D18" s="16"/>
      <c r="E18" s="16"/>
      <c r="F18" s="17"/>
      <c r="G18" s="20"/>
      <c r="H18" s="16"/>
      <c r="I18" s="16"/>
      <c r="J18" s="16"/>
    </row>
    <row r="19" spans="1:10" x14ac:dyDescent="0.35">
      <c r="A19" s="16">
        <v>17</v>
      </c>
      <c r="B19" s="16" t="s">
        <v>361</v>
      </c>
      <c r="C19" s="16" t="s">
        <v>362</v>
      </c>
      <c r="D19" s="16" t="s">
        <v>21</v>
      </c>
      <c r="E19" s="16" t="s">
        <v>57</v>
      </c>
      <c r="F19" s="16" t="s">
        <v>363</v>
      </c>
      <c r="G19" s="16"/>
      <c r="H19" s="16" t="s">
        <v>145</v>
      </c>
      <c r="I19" s="16"/>
      <c r="J19" s="16" t="s">
        <v>145</v>
      </c>
    </row>
    <row r="20" spans="1:10" x14ac:dyDescent="0.35">
      <c r="A20" s="16">
        <v>18</v>
      </c>
      <c r="B20" s="16" t="s">
        <v>364</v>
      </c>
      <c r="C20" s="16" t="s">
        <v>365</v>
      </c>
      <c r="D20" s="16" t="s">
        <v>366</v>
      </c>
      <c r="E20" s="16" t="s">
        <v>24</v>
      </c>
      <c r="F20" s="21" t="s">
        <v>367</v>
      </c>
      <c r="G20" s="19" t="s">
        <v>368</v>
      </c>
      <c r="H20" s="16"/>
      <c r="I20" s="16"/>
      <c r="J20" s="16" t="s">
        <v>145</v>
      </c>
    </row>
    <row r="21" spans="1:10" x14ac:dyDescent="0.35">
      <c r="A21" s="16">
        <v>19</v>
      </c>
      <c r="B21" s="16" t="s">
        <v>369</v>
      </c>
      <c r="C21" s="16" t="s">
        <v>39</v>
      </c>
      <c r="D21" s="16" t="s">
        <v>39</v>
      </c>
      <c r="E21" s="16" t="s">
        <v>24</v>
      </c>
      <c r="F21" s="16"/>
      <c r="G21" s="16"/>
      <c r="H21" s="16"/>
      <c r="I21" s="16"/>
      <c r="J21" s="16" t="s">
        <v>145</v>
      </c>
    </row>
    <row r="22" spans="1:10" x14ac:dyDescent="0.35">
      <c r="A22" s="16">
        <v>20</v>
      </c>
      <c r="B22" s="16" t="s">
        <v>370</v>
      </c>
      <c r="C22" s="16" t="s">
        <v>21</v>
      </c>
      <c r="D22" s="16" t="s">
        <v>21</v>
      </c>
      <c r="E22" s="16" t="s">
        <v>231</v>
      </c>
      <c r="F22" s="21" t="s">
        <v>371</v>
      </c>
      <c r="G22" s="16"/>
      <c r="H22" s="16"/>
      <c r="I22" s="16"/>
      <c r="J22" s="16" t="s">
        <v>139</v>
      </c>
    </row>
    <row r="23" spans="1:10" x14ac:dyDescent="0.35">
      <c r="A23" s="16">
        <v>21</v>
      </c>
      <c r="B23" s="16" t="s">
        <v>372</v>
      </c>
      <c r="C23" s="16" t="s">
        <v>373</v>
      </c>
      <c r="D23" s="16"/>
      <c r="E23" s="16" t="s">
        <v>24</v>
      </c>
      <c r="F23" s="21" t="s">
        <v>374</v>
      </c>
      <c r="G23" s="16" t="s">
        <v>375</v>
      </c>
      <c r="H23" s="16"/>
      <c r="I23" s="16"/>
      <c r="J23" s="16"/>
    </row>
    <row r="24" spans="1:10" s="1" customFormat="1" x14ac:dyDescent="0.35">
      <c r="A24" s="16">
        <v>22</v>
      </c>
      <c r="B24" s="16" t="s">
        <v>376</v>
      </c>
      <c r="C24" s="16" t="s">
        <v>39</v>
      </c>
      <c r="D24" s="16" t="s">
        <v>377</v>
      </c>
      <c r="E24" s="16" t="s">
        <v>68</v>
      </c>
      <c r="F24" s="21" t="s">
        <v>378</v>
      </c>
      <c r="G24" s="16" t="s">
        <v>379</v>
      </c>
      <c r="H24" s="16" t="s">
        <v>139</v>
      </c>
      <c r="I24" s="16"/>
      <c r="J24" s="16" t="s">
        <v>145</v>
      </c>
    </row>
    <row r="25" spans="1:10" x14ac:dyDescent="0.35">
      <c r="A25" s="16">
        <v>23</v>
      </c>
      <c r="B25" s="16" t="s">
        <v>380</v>
      </c>
      <c r="C25" s="16" t="s">
        <v>381</v>
      </c>
      <c r="D25" s="16" t="s">
        <v>382</v>
      </c>
      <c r="E25" s="16" t="s">
        <v>24</v>
      </c>
      <c r="F25" s="21" t="s">
        <v>383</v>
      </c>
      <c r="G25" s="19" t="s">
        <v>384</v>
      </c>
      <c r="H25" s="16"/>
      <c r="I25" s="16"/>
      <c r="J25" s="16" t="s">
        <v>145</v>
      </c>
    </row>
    <row r="26" spans="1:10" x14ac:dyDescent="0.35">
      <c r="A26" s="16">
        <v>24</v>
      </c>
      <c r="B26" s="16" t="s">
        <v>385</v>
      </c>
      <c r="C26" s="16"/>
      <c r="D26" s="16"/>
      <c r="E26" s="16" t="s">
        <v>24</v>
      </c>
      <c r="F26" s="17"/>
      <c r="G26" s="20"/>
      <c r="H26" s="16"/>
      <c r="I26" s="16"/>
      <c r="J26" s="16"/>
    </row>
    <row r="27" spans="1:10" x14ac:dyDescent="0.35">
      <c r="A27" s="16">
        <v>25</v>
      </c>
      <c r="B27" s="16" t="s">
        <v>386</v>
      </c>
      <c r="C27" s="16"/>
      <c r="D27" s="16"/>
      <c r="E27" s="16"/>
      <c r="F27" s="16"/>
      <c r="G27" s="16"/>
      <c r="H27" s="16"/>
      <c r="I27" s="16"/>
      <c r="J27" s="16"/>
    </row>
    <row r="28" spans="1:10" x14ac:dyDescent="0.35">
      <c r="A28" s="16">
        <v>82</v>
      </c>
      <c r="B28" s="16" t="s">
        <v>119</v>
      </c>
      <c r="C28" s="16"/>
      <c r="D28" s="16"/>
      <c r="E28" s="16"/>
      <c r="F28" s="16"/>
      <c r="G28" s="16"/>
      <c r="H28" s="16"/>
      <c r="I28" s="16"/>
      <c r="J28" s="16"/>
    </row>
    <row r="29" spans="1:10" x14ac:dyDescent="0.35">
      <c r="A29" s="16">
        <v>26</v>
      </c>
      <c r="B29" s="16" t="s">
        <v>387</v>
      </c>
      <c r="C29" s="16" t="s">
        <v>388</v>
      </c>
      <c r="D29" s="16" t="s">
        <v>21</v>
      </c>
      <c r="E29" s="16" t="s">
        <v>24</v>
      </c>
      <c r="F29" s="23" t="s">
        <v>389</v>
      </c>
      <c r="G29" s="16"/>
      <c r="H29" s="16"/>
      <c r="I29" s="16"/>
      <c r="J29" s="16" t="s">
        <v>139</v>
      </c>
    </row>
    <row r="30" spans="1:10" x14ac:dyDescent="0.35">
      <c r="A30" s="16">
        <v>27</v>
      </c>
      <c r="B30" s="16" t="s">
        <v>390</v>
      </c>
      <c r="C30" s="16" t="s">
        <v>391</v>
      </c>
      <c r="D30" s="16" t="s">
        <v>392</v>
      </c>
      <c r="E30" s="16" t="s">
        <v>24</v>
      </c>
      <c r="F30" s="21" t="s">
        <v>393</v>
      </c>
      <c r="G30" s="19" t="s">
        <v>394</v>
      </c>
      <c r="H30" s="16"/>
      <c r="I30" s="16"/>
      <c r="J30" s="16"/>
    </row>
    <row r="31" spans="1:10" x14ac:dyDescent="0.35">
      <c r="A31" s="16">
        <v>28</v>
      </c>
      <c r="B31" s="16" t="s">
        <v>395</v>
      </c>
      <c r="C31" s="16"/>
      <c r="D31" s="16"/>
      <c r="E31" s="16" t="s">
        <v>24</v>
      </c>
      <c r="F31" s="16"/>
      <c r="G31" s="16"/>
      <c r="H31" s="16"/>
      <c r="I31" s="16"/>
      <c r="J31" s="16"/>
    </row>
    <row r="32" spans="1:10" x14ac:dyDescent="0.35">
      <c r="A32" s="16">
        <v>29</v>
      </c>
      <c r="B32" s="16" t="s">
        <v>396</v>
      </c>
      <c r="C32" s="16" t="s">
        <v>365</v>
      </c>
      <c r="D32" s="16" t="s">
        <v>397</v>
      </c>
      <c r="E32" s="16" t="s">
        <v>24</v>
      </c>
      <c r="F32" s="16"/>
      <c r="G32" s="16"/>
      <c r="H32" s="16"/>
      <c r="I32" s="16"/>
      <c r="J32" s="16" t="s">
        <v>139</v>
      </c>
    </row>
    <row r="33" spans="1:10" x14ac:dyDescent="0.35">
      <c r="A33" s="16">
        <v>30</v>
      </c>
      <c r="B33" s="16" t="s">
        <v>398</v>
      </c>
      <c r="C33" s="16"/>
      <c r="D33" s="16"/>
      <c r="E33" s="16" t="s">
        <v>24</v>
      </c>
      <c r="F33" s="16"/>
      <c r="G33" s="16"/>
      <c r="H33" s="16"/>
      <c r="I33" s="16"/>
      <c r="J33" s="16"/>
    </row>
    <row r="34" spans="1:10" x14ac:dyDescent="0.35">
      <c r="A34" s="16">
        <v>31</v>
      </c>
      <c r="B34" s="16" t="s">
        <v>399</v>
      </c>
      <c r="C34" s="16" t="s">
        <v>400</v>
      </c>
      <c r="D34" s="16" t="s">
        <v>366</v>
      </c>
      <c r="E34" s="16" t="s">
        <v>24</v>
      </c>
      <c r="F34" s="21" t="s">
        <v>401</v>
      </c>
      <c r="G34" s="19" t="s">
        <v>402</v>
      </c>
      <c r="H34" s="16"/>
      <c r="I34" s="16"/>
      <c r="J34" s="16" t="s">
        <v>145</v>
      </c>
    </row>
    <row r="35" spans="1:10" x14ac:dyDescent="0.35">
      <c r="A35" s="16">
        <v>32</v>
      </c>
      <c r="B35" s="16" t="s">
        <v>403</v>
      </c>
      <c r="C35" s="16"/>
      <c r="D35" s="16"/>
      <c r="E35" s="16" t="s">
        <v>24</v>
      </c>
      <c r="F35" s="16"/>
      <c r="G35" s="16"/>
      <c r="H35" s="16"/>
      <c r="I35" s="16"/>
      <c r="J35" s="16"/>
    </row>
    <row r="36" spans="1:10" x14ac:dyDescent="0.35">
      <c r="A36" s="16">
        <v>33</v>
      </c>
      <c r="B36" s="16" t="s">
        <v>404</v>
      </c>
      <c r="C36" s="16" t="s">
        <v>405</v>
      </c>
      <c r="D36" s="16" t="s">
        <v>21</v>
      </c>
      <c r="E36" s="16" t="s">
        <v>406</v>
      </c>
      <c r="F36" s="16" t="s">
        <v>407</v>
      </c>
      <c r="G36" s="19" t="s">
        <v>408</v>
      </c>
      <c r="H36" s="16"/>
      <c r="I36" s="16" t="s">
        <v>409</v>
      </c>
      <c r="J36" s="16"/>
    </row>
    <row r="37" spans="1:10" x14ac:dyDescent="0.35">
      <c r="A37" s="16">
        <v>34</v>
      </c>
      <c r="B37" s="16" t="s">
        <v>162</v>
      </c>
      <c r="C37" s="16" t="s">
        <v>410</v>
      </c>
      <c r="D37" s="16" t="s">
        <v>21</v>
      </c>
      <c r="E37" s="16" t="s">
        <v>108</v>
      </c>
      <c r="F37" s="21"/>
      <c r="G37" s="20"/>
      <c r="H37" s="16" t="s">
        <v>145</v>
      </c>
      <c r="I37" s="16"/>
      <c r="J37" s="16" t="s">
        <v>145</v>
      </c>
    </row>
    <row r="38" spans="1:10" x14ac:dyDescent="0.35">
      <c r="A38" s="16">
        <v>35</v>
      </c>
      <c r="B38" s="16" t="s">
        <v>411</v>
      </c>
      <c r="C38" s="16" t="s">
        <v>412</v>
      </c>
      <c r="D38" s="16" t="s">
        <v>21</v>
      </c>
      <c r="E38" s="16" t="s">
        <v>413</v>
      </c>
      <c r="F38" s="21"/>
      <c r="G38" s="16"/>
      <c r="H38" s="16"/>
      <c r="I38" s="16"/>
      <c r="J38" s="16" t="s">
        <v>145</v>
      </c>
    </row>
    <row r="39" spans="1:10" x14ac:dyDescent="0.35">
      <c r="A39" s="16">
        <v>36</v>
      </c>
      <c r="B39" s="16" t="s">
        <v>414</v>
      </c>
      <c r="C39" s="16" t="s">
        <v>21</v>
      </c>
      <c r="D39" s="16" t="s">
        <v>21</v>
      </c>
      <c r="E39" s="16" t="s">
        <v>68</v>
      </c>
      <c r="F39" s="21" t="s">
        <v>415</v>
      </c>
      <c r="G39" s="16" t="s">
        <v>416</v>
      </c>
      <c r="H39" s="16"/>
      <c r="I39" s="16"/>
      <c r="J39" s="16" t="s">
        <v>145</v>
      </c>
    </row>
    <row r="40" spans="1:10" x14ac:dyDescent="0.35">
      <c r="A40" s="16">
        <v>37</v>
      </c>
      <c r="B40" s="16" t="s">
        <v>417</v>
      </c>
      <c r="C40" s="16" t="s">
        <v>325</v>
      </c>
      <c r="D40" s="16" t="s">
        <v>21</v>
      </c>
      <c r="E40" s="16" t="s">
        <v>418</v>
      </c>
      <c r="F40" s="17"/>
      <c r="G40" s="20"/>
      <c r="H40" s="16" t="s">
        <v>139</v>
      </c>
      <c r="I40" s="16"/>
      <c r="J40" s="16" t="s">
        <v>145</v>
      </c>
    </row>
    <row r="41" spans="1:10" x14ac:dyDescent="0.35">
      <c r="A41" s="16">
        <v>38</v>
      </c>
      <c r="B41" s="16" t="s">
        <v>419</v>
      </c>
      <c r="C41" s="16"/>
      <c r="D41" s="16"/>
      <c r="E41" s="16"/>
      <c r="F41" s="16"/>
      <c r="G41" s="16"/>
      <c r="H41" s="16"/>
      <c r="I41" s="16"/>
      <c r="J41" s="16"/>
    </row>
    <row r="42" spans="1:10" x14ac:dyDescent="0.35">
      <c r="A42" s="16">
        <v>39</v>
      </c>
      <c r="B42" s="16" t="s">
        <v>420</v>
      </c>
      <c r="C42" s="16" t="s">
        <v>21</v>
      </c>
      <c r="D42" s="16" t="s">
        <v>21</v>
      </c>
      <c r="E42" s="16" t="s">
        <v>93</v>
      </c>
      <c r="F42" s="23" t="s">
        <v>421</v>
      </c>
      <c r="G42" s="16" t="s">
        <v>422</v>
      </c>
      <c r="H42" s="16" t="s">
        <v>145</v>
      </c>
      <c r="I42" s="16"/>
      <c r="J42" s="16" t="s">
        <v>145</v>
      </c>
    </row>
    <row r="43" spans="1:10" x14ac:dyDescent="0.35">
      <c r="A43" s="16">
        <v>40</v>
      </c>
      <c r="B43" s="16" t="s">
        <v>423</v>
      </c>
      <c r="C43" s="16" t="s">
        <v>412</v>
      </c>
      <c r="D43" s="16" t="s">
        <v>377</v>
      </c>
      <c r="E43" s="16" t="s">
        <v>68</v>
      </c>
      <c r="F43" s="16"/>
      <c r="G43" s="16"/>
      <c r="H43" s="16"/>
      <c r="I43" s="16"/>
      <c r="J43" s="16" t="s">
        <v>145</v>
      </c>
    </row>
    <row r="44" spans="1:10" x14ac:dyDescent="0.35">
      <c r="A44" s="16">
        <v>41</v>
      </c>
      <c r="B44" s="16" t="s">
        <v>424</v>
      </c>
      <c r="C44" s="16" t="s">
        <v>425</v>
      </c>
      <c r="D44" s="16" t="s">
        <v>382</v>
      </c>
      <c r="E44" s="16" t="s">
        <v>426</v>
      </c>
      <c r="F44" s="16"/>
      <c r="G44" s="16"/>
      <c r="H44" s="16"/>
      <c r="I44" s="16"/>
      <c r="J44" s="16" t="s">
        <v>145</v>
      </c>
    </row>
    <row r="45" spans="1:10" x14ac:dyDescent="0.35">
      <c r="A45" s="16">
        <v>42</v>
      </c>
      <c r="B45" s="16" t="s">
        <v>427</v>
      </c>
      <c r="C45" s="16" t="s">
        <v>39</v>
      </c>
      <c r="D45" s="16" t="s">
        <v>39</v>
      </c>
      <c r="E45" s="16" t="s">
        <v>24</v>
      </c>
      <c r="F45" s="16"/>
      <c r="G45" s="16"/>
      <c r="H45" s="16"/>
      <c r="I45" s="16"/>
      <c r="J45" s="16" t="s">
        <v>145</v>
      </c>
    </row>
    <row r="46" spans="1:10" x14ac:dyDescent="0.35">
      <c r="A46" s="16">
        <v>43</v>
      </c>
      <c r="B46" s="16" t="s">
        <v>428</v>
      </c>
      <c r="C46" s="16" t="s">
        <v>39</v>
      </c>
      <c r="D46" s="16" t="s">
        <v>39</v>
      </c>
      <c r="E46" s="16" t="s">
        <v>24</v>
      </c>
      <c r="F46" s="21" t="s">
        <v>429</v>
      </c>
      <c r="G46" s="19" t="s">
        <v>430</v>
      </c>
      <c r="H46" s="16"/>
      <c r="I46" s="16"/>
      <c r="J46" s="16" t="s">
        <v>145</v>
      </c>
    </row>
    <row r="47" spans="1:10" x14ac:dyDescent="0.35">
      <c r="A47" s="16">
        <v>44</v>
      </c>
      <c r="B47" s="16" t="s">
        <v>431</v>
      </c>
      <c r="C47" s="16"/>
      <c r="D47" s="16"/>
      <c r="E47" s="16"/>
      <c r="F47" s="16"/>
      <c r="G47" s="16"/>
      <c r="H47" s="16"/>
      <c r="I47" s="16"/>
      <c r="J47" s="16"/>
    </row>
    <row r="48" spans="1:10" x14ac:dyDescent="0.35">
      <c r="A48" s="16">
        <v>45</v>
      </c>
      <c r="B48" s="14" t="s">
        <v>105</v>
      </c>
      <c r="C48" s="16"/>
      <c r="D48" s="16"/>
      <c r="E48" s="16"/>
      <c r="F48" s="17"/>
      <c r="G48" s="20"/>
      <c r="H48" s="16"/>
      <c r="I48" s="16"/>
      <c r="J48" s="16"/>
    </row>
    <row r="49" spans="1:10" x14ac:dyDescent="0.35">
      <c r="A49" s="16">
        <v>46</v>
      </c>
      <c r="B49" s="16" t="s">
        <v>432</v>
      </c>
      <c r="C49" s="16"/>
      <c r="D49" s="16"/>
      <c r="E49" s="16"/>
      <c r="F49" s="16"/>
      <c r="G49" s="16"/>
      <c r="H49" s="16"/>
      <c r="I49" s="16"/>
      <c r="J49" s="16"/>
    </row>
    <row r="50" spans="1:10" x14ac:dyDescent="0.35">
      <c r="A50" s="16">
        <v>47</v>
      </c>
      <c r="B50" s="16" t="s">
        <v>433</v>
      </c>
      <c r="C50" s="16"/>
      <c r="D50" s="16"/>
      <c r="E50" s="16"/>
      <c r="F50" s="16"/>
      <c r="G50" s="16"/>
      <c r="H50" s="16"/>
      <c r="I50" s="16"/>
      <c r="J50" s="16"/>
    </row>
    <row r="51" spans="1:10" x14ac:dyDescent="0.35">
      <c r="A51" s="16">
        <v>48</v>
      </c>
      <c r="B51" s="16" t="s">
        <v>434</v>
      </c>
      <c r="C51" s="16" t="s">
        <v>351</v>
      </c>
      <c r="D51" s="16" t="s">
        <v>366</v>
      </c>
      <c r="E51" s="16" t="s">
        <v>45</v>
      </c>
      <c r="F51" s="23" t="s">
        <v>435</v>
      </c>
      <c r="G51" s="14" t="s">
        <v>436</v>
      </c>
      <c r="H51" s="16" t="s">
        <v>139</v>
      </c>
      <c r="I51" s="16"/>
      <c r="J51" s="16" t="s">
        <v>145</v>
      </c>
    </row>
    <row r="52" spans="1:10" x14ac:dyDescent="0.35">
      <c r="A52" s="16">
        <v>49</v>
      </c>
      <c r="B52" s="16" t="s">
        <v>437</v>
      </c>
      <c r="C52" s="16"/>
      <c r="D52" s="16"/>
      <c r="E52" s="16"/>
      <c r="F52" s="16"/>
      <c r="G52" s="16"/>
      <c r="H52" s="16"/>
      <c r="I52" s="16"/>
      <c r="J52" s="16"/>
    </row>
    <row r="53" spans="1:10" x14ac:dyDescent="0.35">
      <c r="A53" s="16">
        <v>50</v>
      </c>
      <c r="B53" s="16" t="s">
        <v>438</v>
      </c>
      <c r="C53" s="16"/>
      <c r="D53" s="16"/>
      <c r="E53" s="16"/>
      <c r="F53" s="16"/>
      <c r="G53" s="16"/>
      <c r="H53" s="16"/>
      <c r="I53" s="16"/>
      <c r="J53" s="16"/>
    </row>
    <row r="54" spans="1:10" x14ac:dyDescent="0.35">
      <c r="A54" s="16">
        <v>51</v>
      </c>
      <c r="B54" s="16" t="s">
        <v>439</v>
      </c>
      <c r="C54" s="16" t="s">
        <v>440</v>
      </c>
      <c r="D54" s="16" t="s">
        <v>377</v>
      </c>
      <c r="E54" s="16" t="s">
        <v>24</v>
      </c>
      <c r="F54" s="21" t="s">
        <v>441</v>
      </c>
      <c r="G54" s="32" t="s">
        <v>442</v>
      </c>
      <c r="H54" s="16"/>
      <c r="I54" s="16"/>
      <c r="J54" s="16" t="s">
        <v>145</v>
      </c>
    </row>
    <row r="55" spans="1:10" x14ac:dyDescent="0.35">
      <c r="A55" s="16">
        <v>52</v>
      </c>
      <c r="B55" s="16" t="s">
        <v>443</v>
      </c>
      <c r="C55" s="16"/>
      <c r="D55" s="16"/>
      <c r="E55" s="16"/>
      <c r="F55" s="16"/>
      <c r="G55" s="16"/>
      <c r="H55" s="16"/>
      <c r="I55" s="16"/>
      <c r="J55" s="16"/>
    </row>
    <row r="56" spans="1:10" x14ac:dyDescent="0.35">
      <c r="A56" s="16">
        <v>53</v>
      </c>
      <c r="B56" s="16" t="s">
        <v>444</v>
      </c>
      <c r="C56" s="16" t="s">
        <v>362</v>
      </c>
      <c r="D56" s="16" t="s">
        <v>377</v>
      </c>
      <c r="E56" s="16" t="s">
        <v>406</v>
      </c>
      <c r="F56" s="16" t="s">
        <v>445</v>
      </c>
      <c r="G56" s="24" t="s">
        <v>446</v>
      </c>
      <c r="H56" s="16"/>
      <c r="I56" s="16"/>
      <c r="J56" s="16"/>
    </row>
    <row r="57" spans="1:10" x14ac:dyDescent="0.35">
      <c r="A57" s="16">
        <v>54</v>
      </c>
      <c r="B57" s="16" t="s">
        <v>447</v>
      </c>
      <c r="C57" s="16"/>
      <c r="D57" s="16"/>
      <c r="E57" s="16"/>
      <c r="F57" s="16"/>
      <c r="G57" s="16"/>
      <c r="H57" s="16"/>
      <c r="I57" s="16"/>
      <c r="J57" s="16"/>
    </row>
    <row r="58" spans="1:10" x14ac:dyDescent="0.35">
      <c r="A58" s="16">
        <v>55</v>
      </c>
      <c r="B58" s="16" t="s">
        <v>448</v>
      </c>
      <c r="C58" s="16" t="s">
        <v>412</v>
      </c>
      <c r="D58" s="16" t="s">
        <v>377</v>
      </c>
      <c r="E58" s="16" t="s">
        <v>178</v>
      </c>
      <c r="F58" s="21" t="s">
        <v>449</v>
      </c>
      <c r="G58" s="16"/>
      <c r="H58" s="16" t="s">
        <v>139</v>
      </c>
      <c r="I58" s="16"/>
      <c r="J58" s="16" t="s">
        <v>145</v>
      </c>
    </row>
    <row r="59" spans="1:10" x14ac:dyDescent="0.35">
      <c r="A59" s="16">
        <v>56</v>
      </c>
      <c r="B59" s="16" t="s">
        <v>450</v>
      </c>
      <c r="C59" s="16"/>
      <c r="D59" s="16"/>
      <c r="E59" s="16"/>
      <c r="F59" s="16"/>
      <c r="G59" s="16"/>
      <c r="H59" s="16"/>
      <c r="I59" s="16"/>
      <c r="J59" s="16"/>
    </row>
    <row r="60" spans="1:10" x14ac:dyDescent="0.35">
      <c r="A60" s="16">
        <v>57</v>
      </c>
      <c r="B60" s="16" t="s">
        <v>451</v>
      </c>
      <c r="C60" s="16" t="s">
        <v>388</v>
      </c>
      <c r="D60" s="16" t="s">
        <v>21</v>
      </c>
      <c r="E60" s="16" t="s">
        <v>24</v>
      </c>
      <c r="F60" s="21" t="s">
        <v>452</v>
      </c>
      <c r="G60" s="24" t="s">
        <v>453</v>
      </c>
      <c r="H60" s="16" t="s">
        <v>139</v>
      </c>
      <c r="I60" s="16"/>
      <c r="J60" s="16" t="s">
        <v>145</v>
      </c>
    </row>
    <row r="61" spans="1:10" x14ac:dyDescent="0.35">
      <c r="A61" s="16">
        <v>58</v>
      </c>
      <c r="B61" s="16" t="s">
        <v>454</v>
      </c>
      <c r="C61" s="16" t="s">
        <v>340</v>
      </c>
      <c r="D61" s="16" t="s">
        <v>39</v>
      </c>
      <c r="E61" s="16" t="s">
        <v>212</v>
      </c>
      <c r="F61" s="16"/>
      <c r="G61" s="16"/>
      <c r="H61" s="16"/>
      <c r="I61" s="16"/>
      <c r="J61" s="16" t="s">
        <v>145</v>
      </c>
    </row>
    <row r="62" spans="1:10" x14ac:dyDescent="0.35">
      <c r="A62" s="16">
        <v>59</v>
      </c>
      <c r="B62" s="16" t="s">
        <v>455</v>
      </c>
      <c r="C62" s="16" t="s">
        <v>456</v>
      </c>
      <c r="D62" s="16" t="s">
        <v>457</v>
      </c>
      <c r="E62" s="16" t="s">
        <v>24</v>
      </c>
      <c r="F62" s="16"/>
      <c r="G62" s="16"/>
      <c r="H62" s="16"/>
      <c r="I62" s="16"/>
      <c r="J62" s="16" t="s">
        <v>145</v>
      </c>
    </row>
    <row r="63" spans="1:10" x14ac:dyDescent="0.35">
      <c r="A63" s="16">
        <v>60</v>
      </c>
      <c r="B63" s="16" t="s">
        <v>458</v>
      </c>
      <c r="C63" s="16" t="s">
        <v>21</v>
      </c>
      <c r="D63" s="16" t="s">
        <v>21</v>
      </c>
      <c r="E63" s="16" t="s">
        <v>459</v>
      </c>
      <c r="F63" s="21" t="s">
        <v>460</v>
      </c>
      <c r="G63" s="19" t="s">
        <v>461</v>
      </c>
      <c r="H63" s="16"/>
      <c r="I63" s="16"/>
      <c r="J63" s="16" t="s">
        <v>145</v>
      </c>
    </row>
    <row r="64" spans="1:10" x14ac:dyDescent="0.35">
      <c r="A64" s="16">
        <v>61</v>
      </c>
      <c r="B64" s="16" t="s">
        <v>462</v>
      </c>
      <c r="C64" s="16" t="s">
        <v>463</v>
      </c>
      <c r="D64" s="16" t="s">
        <v>21</v>
      </c>
      <c r="E64" s="16" t="s">
        <v>91</v>
      </c>
      <c r="F64" s="21" t="s">
        <v>464</v>
      </c>
      <c r="G64" s="14" t="s">
        <v>465</v>
      </c>
      <c r="H64" s="16"/>
      <c r="I64" s="16"/>
      <c r="J64" s="16" t="s">
        <v>145</v>
      </c>
    </row>
    <row r="65" spans="1:10" x14ac:dyDescent="0.35">
      <c r="A65" s="16">
        <v>62</v>
      </c>
      <c r="B65" s="14" t="s">
        <v>179</v>
      </c>
      <c r="C65" s="14" t="s">
        <v>21</v>
      </c>
      <c r="D65" s="14" t="s">
        <v>21</v>
      </c>
      <c r="E65" s="14" t="s">
        <v>178</v>
      </c>
      <c r="F65" s="23" t="s">
        <v>181</v>
      </c>
      <c r="G65" s="14"/>
      <c r="H65" s="14" t="s">
        <v>139</v>
      </c>
      <c r="I65" s="16"/>
      <c r="J65" s="14" t="s">
        <v>145</v>
      </c>
    </row>
    <row r="66" spans="1:10" x14ac:dyDescent="0.35">
      <c r="A66" s="16">
        <v>63</v>
      </c>
      <c r="B66" s="16" t="s">
        <v>466</v>
      </c>
      <c r="C66" s="16" t="s">
        <v>467</v>
      </c>
      <c r="D66" s="16" t="s">
        <v>468</v>
      </c>
      <c r="E66" s="16" t="s">
        <v>118</v>
      </c>
      <c r="F66" s="16"/>
      <c r="G66" s="16"/>
      <c r="H66" s="16"/>
      <c r="I66" s="16"/>
      <c r="J66" s="16" t="s">
        <v>145</v>
      </c>
    </row>
    <row r="67" spans="1:10" x14ac:dyDescent="0.35">
      <c r="A67" s="16">
        <v>65</v>
      </c>
      <c r="B67" s="16" t="s">
        <v>469</v>
      </c>
      <c r="C67" s="16" t="s">
        <v>412</v>
      </c>
      <c r="D67" s="16" t="s">
        <v>21</v>
      </c>
      <c r="E67" s="16" t="s">
        <v>108</v>
      </c>
      <c r="F67" s="21" t="s">
        <v>470</v>
      </c>
      <c r="G67" s="20" t="s">
        <v>471</v>
      </c>
      <c r="H67" s="16" t="s">
        <v>145</v>
      </c>
      <c r="I67" s="16"/>
      <c r="J67" s="16" t="s">
        <v>145</v>
      </c>
    </row>
    <row r="68" spans="1:10" x14ac:dyDescent="0.35">
      <c r="A68" s="16">
        <v>66</v>
      </c>
      <c r="B68" s="16" t="s">
        <v>472</v>
      </c>
      <c r="C68" s="16" t="s">
        <v>467</v>
      </c>
      <c r="D68" s="16" t="s">
        <v>382</v>
      </c>
      <c r="E68" s="16" t="s">
        <v>108</v>
      </c>
      <c r="F68" s="21"/>
      <c r="G68" s="16"/>
      <c r="H68" s="16" t="s">
        <v>139</v>
      </c>
      <c r="I68" s="16"/>
      <c r="J68" s="16" t="s">
        <v>145</v>
      </c>
    </row>
    <row r="69" spans="1:10" x14ac:dyDescent="0.35">
      <c r="A69" s="16">
        <v>67</v>
      </c>
      <c r="B69" s="16" t="s">
        <v>473</v>
      </c>
      <c r="C69" s="16"/>
      <c r="D69" s="16"/>
      <c r="E69" s="16"/>
      <c r="F69" s="16"/>
      <c r="G69" s="16"/>
      <c r="H69" s="16"/>
      <c r="I69" s="16"/>
      <c r="J69" s="16"/>
    </row>
    <row r="70" spans="1:10" x14ac:dyDescent="0.35">
      <c r="A70" s="16">
        <v>68</v>
      </c>
      <c r="B70" s="16" t="s">
        <v>474</v>
      </c>
      <c r="C70" s="16" t="s">
        <v>475</v>
      </c>
      <c r="D70" s="16" t="s">
        <v>341</v>
      </c>
      <c r="E70" s="16" t="s">
        <v>476</v>
      </c>
      <c r="F70" s="16"/>
      <c r="G70" s="16"/>
      <c r="H70" s="16"/>
      <c r="I70" s="16"/>
      <c r="J70" s="16" t="s">
        <v>145</v>
      </c>
    </row>
    <row r="71" spans="1:10" ht="11.15" customHeight="1" x14ac:dyDescent="0.35">
      <c r="A71" s="16">
        <v>69</v>
      </c>
      <c r="B71" s="16" t="s">
        <v>477</v>
      </c>
      <c r="C71" s="16"/>
      <c r="D71" s="16"/>
      <c r="E71" s="16"/>
      <c r="F71" s="16"/>
      <c r="G71" s="16"/>
      <c r="H71" s="16"/>
      <c r="I71" s="16"/>
      <c r="J71" s="16"/>
    </row>
    <row r="72" spans="1:10" x14ac:dyDescent="0.35">
      <c r="A72" s="16">
        <v>70</v>
      </c>
      <c r="B72" s="16" t="s">
        <v>478</v>
      </c>
      <c r="C72" s="16"/>
      <c r="D72" s="16"/>
      <c r="E72" s="16"/>
      <c r="F72" s="16"/>
      <c r="G72" s="16"/>
      <c r="H72" s="16"/>
      <c r="I72" s="16"/>
      <c r="J72" s="16"/>
    </row>
    <row r="73" spans="1:10" ht="12" customHeight="1" x14ac:dyDescent="0.35">
      <c r="A73" s="16">
        <v>71</v>
      </c>
      <c r="B73" s="16" t="s">
        <v>479</v>
      </c>
      <c r="C73" s="16" t="s">
        <v>21</v>
      </c>
      <c r="D73" s="16" t="s">
        <v>480</v>
      </c>
      <c r="E73" s="16" t="s">
        <v>75</v>
      </c>
      <c r="F73" s="16" t="s">
        <v>481</v>
      </c>
      <c r="G73" s="16"/>
      <c r="H73" s="16"/>
      <c r="I73" s="16"/>
      <c r="J73" s="16"/>
    </row>
    <row r="74" spans="1:10" x14ac:dyDescent="0.35">
      <c r="A74" s="16">
        <v>81</v>
      </c>
      <c r="B74" s="16" t="s">
        <v>115</v>
      </c>
      <c r="C74" s="16"/>
      <c r="D74" s="16"/>
      <c r="E74" s="16"/>
      <c r="F74" s="16"/>
      <c r="G74" s="16"/>
      <c r="H74" s="16"/>
      <c r="I74" s="16"/>
      <c r="J74" s="16"/>
    </row>
    <row r="75" spans="1:10" x14ac:dyDescent="0.35">
      <c r="A75" s="16">
        <v>72</v>
      </c>
      <c r="B75" s="16" t="s">
        <v>482</v>
      </c>
      <c r="C75" s="16" t="s">
        <v>483</v>
      </c>
      <c r="D75" s="16" t="s">
        <v>484</v>
      </c>
      <c r="E75" s="16" t="s">
        <v>24</v>
      </c>
      <c r="F75" s="16" t="s">
        <v>485</v>
      </c>
      <c r="G75" s="19" t="s">
        <v>486</v>
      </c>
      <c r="H75" s="16" t="s">
        <v>145</v>
      </c>
      <c r="I75" s="16" t="s">
        <v>487</v>
      </c>
      <c r="J75" s="16"/>
    </row>
    <row r="76" spans="1:10" x14ac:dyDescent="0.35">
      <c r="A76" s="16">
        <v>73</v>
      </c>
      <c r="B76" s="16" t="s">
        <v>488</v>
      </c>
      <c r="C76" s="16"/>
      <c r="D76" s="16"/>
      <c r="E76" s="16"/>
      <c r="F76" s="16"/>
      <c r="G76" s="16"/>
      <c r="H76" s="16"/>
      <c r="I76" s="16"/>
      <c r="J76" s="16"/>
    </row>
    <row r="77" spans="1:10" x14ac:dyDescent="0.35">
      <c r="A77" s="16">
        <v>74</v>
      </c>
      <c r="B77" s="16" t="s">
        <v>489</v>
      </c>
      <c r="C77" s="16" t="s">
        <v>490</v>
      </c>
      <c r="D77" s="16" t="s">
        <v>468</v>
      </c>
      <c r="E77" s="16" t="s">
        <v>118</v>
      </c>
      <c r="F77" s="16"/>
      <c r="G77" s="16"/>
      <c r="H77" s="16"/>
      <c r="I77" s="16"/>
      <c r="J77" s="16" t="s">
        <v>145</v>
      </c>
    </row>
    <row r="78" spans="1:10" x14ac:dyDescent="0.35">
      <c r="A78" s="16">
        <v>75</v>
      </c>
      <c r="B78" s="16" t="s">
        <v>491</v>
      </c>
      <c r="C78" s="16"/>
      <c r="D78" s="16"/>
      <c r="E78" s="16"/>
      <c r="F78" s="16"/>
      <c r="G78" s="16"/>
      <c r="H78" s="16"/>
      <c r="I78" s="16"/>
      <c r="J78" s="16"/>
    </row>
    <row r="79" spans="1:10" x14ac:dyDescent="0.35">
      <c r="A79" s="16">
        <v>76</v>
      </c>
      <c r="B79" s="16" t="s">
        <v>492</v>
      </c>
      <c r="C79" s="16"/>
      <c r="D79" s="16"/>
      <c r="E79" s="16"/>
      <c r="F79" s="16"/>
      <c r="G79" s="16"/>
      <c r="H79" s="16"/>
      <c r="I79" s="16"/>
      <c r="J79" s="16"/>
    </row>
    <row r="80" spans="1:10" x14ac:dyDescent="0.35">
      <c r="A80" s="16">
        <v>77</v>
      </c>
      <c r="B80" s="16" t="s">
        <v>493</v>
      </c>
      <c r="C80" s="16"/>
      <c r="D80" s="16"/>
      <c r="E80" s="16"/>
      <c r="F80" s="17"/>
      <c r="G80" s="20"/>
      <c r="H80" s="16"/>
      <c r="I80" s="16"/>
      <c r="J80" s="16"/>
    </row>
    <row r="81" spans="1:10" x14ac:dyDescent="0.35">
      <c r="A81" s="16">
        <v>78</v>
      </c>
      <c r="B81" s="16" t="s">
        <v>494</v>
      </c>
      <c r="C81" s="16"/>
      <c r="D81" s="16"/>
      <c r="E81" s="16"/>
      <c r="F81" s="16"/>
      <c r="G81" s="16"/>
      <c r="H81" s="16"/>
      <c r="I81" s="16"/>
      <c r="J81" s="16"/>
    </row>
    <row r="82" spans="1:10" x14ac:dyDescent="0.35">
      <c r="A82" s="16">
        <v>79</v>
      </c>
      <c r="B82" s="16" t="s">
        <v>495</v>
      </c>
      <c r="C82" s="16"/>
      <c r="D82" s="16"/>
      <c r="E82" s="16"/>
      <c r="F82" s="16"/>
      <c r="G82" s="16"/>
      <c r="H82" s="16"/>
      <c r="I82" s="16"/>
      <c r="J82" s="16"/>
    </row>
    <row r="83" spans="1:10" x14ac:dyDescent="0.35">
      <c r="A83" s="16">
        <v>80</v>
      </c>
      <c r="B83" s="16" t="s">
        <v>496</v>
      </c>
      <c r="C83" s="16" t="s">
        <v>497</v>
      </c>
      <c r="D83" s="16" t="s">
        <v>497</v>
      </c>
      <c r="E83" s="16" t="s">
        <v>24</v>
      </c>
      <c r="F83" s="16"/>
      <c r="G83" s="16"/>
      <c r="H83" s="16"/>
      <c r="I83" s="16"/>
      <c r="J83" s="16" t="s">
        <v>145</v>
      </c>
    </row>
  </sheetData>
  <autoFilter ref="A1:J192" xr:uid="{00000000-0001-0000-0200-000000000000}">
    <sortState xmlns:xlrd2="http://schemas.microsoft.com/office/spreadsheetml/2017/richdata2" ref="A2:J86">
      <sortCondition ref="B1:B192"/>
    </sortState>
  </autoFilter>
  <dataValidations count="1">
    <dataValidation type="textLength" allowBlank="1" showInputMessage="1" showErrorMessage="1" sqref="B39:B41" xr:uid="{B3BC3C58-652D-4E6D-B3F8-217D8BD2446D}">
      <formula1>3</formula1>
      <formula2>300</formula2>
    </dataValidation>
  </dataValidations>
  <hyperlinks>
    <hyperlink ref="F23" r:id="rId1" xr:uid="{5895A170-D72C-40DF-8634-A8AFA20E5DB3}"/>
    <hyperlink ref="F30" r:id="rId2" xr:uid="{BE1A03D1-006B-4F67-AD8F-055FFF8682E9}"/>
    <hyperlink ref="F16" r:id="rId3" xr:uid="{A6BAA10E-DC3D-46FF-8E8A-7FE3695CBE36}"/>
    <hyperlink ref="F51" r:id="rId4" xr:uid="{8611C784-9AD4-44BA-A8FA-9F57465FE416}"/>
    <hyperlink ref="F64" r:id="rId5" xr:uid="{1BCB1C5E-048F-479F-8D8B-D6030C68214A}"/>
    <hyperlink ref="F42" r:id="rId6" xr:uid="{C4CEE966-DD68-4FAB-B047-CBE33C30CF04}"/>
    <hyperlink ref="F39" r:id="rId7" xr:uid="{242DFE78-834E-416F-BAF4-DC2E557EE91B}"/>
    <hyperlink ref="F60" r:id="rId8" xr:uid="{A5C14F31-96C8-404A-8023-041EA6C93013}"/>
    <hyperlink ref="F22" r:id="rId9" xr:uid="{5061FF7E-A2EA-450E-9E9E-A648ABFDECAC}"/>
    <hyperlink ref="F58" r:id="rId10" xr:uid="{512A391D-29FA-4186-B8B9-7F5D1C7603E5}"/>
    <hyperlink ref="F65" r:id="rId11" xr:uid="{DDA14C07-2A4B-490B-B6A5-363B32C11A44}"/>
    <hyperlink ref="F29" r:id="rId12" xr:uid="{DB48A374-D022-4628-B1D3-1EF382D23FF5}"/>
    <hyperlink ref="F24" r:id="rId13" xr:uid="{CEC75248-C3A0-47C6-BF48-BF4EE1BB1DAC}"/>
    <hyperlink ref="F54" r:id="rId14" xr:uid="{1117DECE-AF40-442A-B7B0-2951BA8D8AF5}"/>
    <hyperlink ref="F46" r:id="rId15" xr:uid="{57D915AE-0A39-41FA-AE56-95B0B820FDED}"/>
    <hyperlink ref="F34" r:id="rId16" xr:uid="{49063075-4AEF-4253-9227-0E1A49498997}"/>
    <hyperlink ref="F25" r:id="rId17" xr:uid="{BC127336-F8B3-42B4-8BFF-F2BBF5CA6097}"/>
    <hyperlink ref="F20" r:id="rId18" xr:uid="{4FE95EE3-31D9-4D28-840F-C6829DC169E3}"/>
    <hyperlink ref="F14" r:id="rId19" xr:uid="{61015206-D460-4291-A822-3D3BB1687100}"/>
    <hyperlink ref="F63" r:id="rId20" xr:uid="{D49D4ECF-7515-4118-B7DC-B96DE254379A}"/>
  </hyperlinks>
  <pageMargins left="0.7" right="0.7" top="0.75" bottom="0.75" header="0.3" footer="0.3"/>
  <pageSetup orientation="portrait" r:id="rId21"/>
  <legacyDrawing r:id="rId2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AD578-DA28-4F78-8FD4-6B585E562D50}">
  <dimension ref="A1:E10"/>
  <sheetViews>
    <sheetView zoomScale="80" zoomScaleNormal="80" workbookViewId="0">
      <selection activeCell="I29" sqref="I29"/>
    </sheetView>
  </sheetViews>
  <sheetFormatPr defaultColWidth="8.7265625" defaultRowHeight="10.5" x14ac:dyDescent="0.25"/>
  <cols>
    <col min="1" max="2" width="8.7265625" style="26"/>
    <col min="3" max="3" width="11.81640625" style="26" customWidth="1"/>
    <col min="4" max="4" width="11.54296875" style="26" customWidth="1"/>
    <col min="5" max="5" width="10.453125" style="26" customWidth="1"/>
    <col min="6" max="16384" width="8.7265625" style="26"/>
  </cols>
  <sheetData>
    <row r="1" spans="1:5" s="25" customFormat="1" x14ac:dyDescent="0.25">
      <c r="A1" s="25" t="s">
        <v>498</v>
      </c>
      <c r="B1" s="25" t="s">
        <v>499</v>
      </c>
      <c r="C1" s="25" t="s">
        <v>500</v>
      </c>
      <c r="D1" s="25" t="s">
        <v>501</v>
      </c>
      <c r="E1" s="25" t="s">
        <v>502</v>
      </c>
    </row>
    <row r="2" spans="1:5" x14ac:dyDescent="0.25">
      <c r="A2" s="26" t="s">
        <v>90</v>
      </c>
      <c r="B2" s="26" t="s">
        <v>43</v>
      </c>
      <c r="C2" s="26" t="s">
        <v>33</v>
      </c>
      <c r="D2" s="26" t="s">
        <v>82</v>
      </c>
      <c r="E2" s="26" t="s">
        <v>37</v>
      </c>
    </row>
    <row r="3" spans="1:5" x14ac:dyDescent="0.25">
      <c r="A3" s="26" t="s">
        <v>113</v>
      </c>
      <c r="B3" s="26" t="s">
        <v>36</v>
      </c>
      <c r="C3" s="26" t="s">
        <v>59</v>
      </c>
      <c r="D3" s="26" t="s">
        <v>60</v>
      </c>
      <c r="E3" s="26" t="s">
        <v>41</v>
      </c>
    </row>
    <row r="4" spans="1:5" x14ac:dyDescent="0.25">
      <c r="A4" s="26" t="s">
        <v>61</v>
      </c>
      <c r="B4" s="26" t="s">
        <v>47</v>
      </c>
      <c r="C4" s="26" t="s">
        <v>109</v>
      </c>
      <c r="D4" s="26" t="s">
        <v>92</v>
      </c>
      <c r="E4" s="26" t="s">
        <v>28</v>
      </c>
    </row>
    <row r="5" spans="1:5" x14ac:dyDescent="0.25">
      <c r="A5" s="26" t="s">
        <v>32</v>
      </c>
      <c r="B5" s="140" t="s">
        <v>35</v>
      </c>
      <c r="C5" s="26" t="s">
        <v>67</v>
      </c>
      <c r="D5" s="26" t="s">
        <v>53</v>
      </c>
      <c r="E5" s="26" t="s">
        <v>54</v>
      </c>
    </row>
    <row r="6" spans="1:5" x14ac:dyDescent="0.25">
      <c r="A6" s="26" t="s">
        <v>65</v>
      </c>
      <c r="B6" s="26" t="s">
        <v>78</v>
      </c>
      <c r="C6" s="26" t="s">
        <v>538</v>
      </c>
      <c r="D6" s="26" t="s">
        <v>27</v>
      </c>
      <c r="E6" s="26" t="s">
        <v>52</v>
      </c>
    </row>
    <row r="7" spans="1:5" x14ac:dyDescent="0.25">
      <c r="A7" s="26" t="s">
        <v>503</v>
      </c>
      <c r="B7" s="26" t="s">
        <v>48</v>
      </c>
      <c r="C7" s="26" t="s">
        <v>46</v>
      </c>
      <c r="D7" s="26" t="s">
        <v>523</v>
      </c>
    </row>
    <row r="8" spans="1:5" x14ac:dyDescent="0.25">
      <c r="A8" s="26" t="s">
        <v>504</v>
      </c>
      <c r="B8" s="26" t="s">
        <v>505</v>
      </c>
      <c r="D8" s="26" t="s">
        <v>89</v>
      </c>
    </row>
    <row r="9" spans="1:5" x14ac:dyDescent="0.25">
      <c r="A9" s="26" t="s">
        <v>621</v>
      </c>
      <c r="B9" s="26" t="s">
        <v>506</v>
      </c>
    </row>
    <row r="10" spans="1:5" x14ac:dyDescent="0.25">
      <c r="A10" s="140"/>
    </row>
  </sheetData>
  <autoFilter ref="A1:E9" xr:uid="{B83AD578-DA28-4F78-8FD4-6B585E562D50}"/>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08E3D2F54C53489D9AB6139CAEF0B9" ma:contentTypeVersion="3" ma:contentTypeDescription="Create a new document." ma:contentTypeScope="" ma:versionID="492e2bda549b44b2f704032f7767c399">
  <xsd:schema xmlns:xsd="http://www.w3.org/2001/XMLSchema" xmlns:xs="http://www.w3.org/2001/XMLSchema" xmlns:p="http://schemas.microsoft.com/office/2006/metadata/properties" xmlns:ns2="9d24e2f5-a44a-4509-8e3a-4f36d63f9f8f" targetNamespace="http://schemas.microsoft.com/office/2006/metadata/properties" ma:root="true" ma:fieldsID="240da83a898570f75363da29bdb62103" ns2:_="">
    <xsd:import namespace="9d24e2f5-a44a-4509-8e3a-4f36d63f9f8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24e2f5-a44a-4509-8e3a-4f36d63f9f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F46D618-D708-4DF1-99B7-BBB132EA28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24e2f5-a44a-4509-8e3a-4f36d63f9f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3EAEF3C-2011-4D39-879E-EC8263732E2D}">
  <ds:schemaRefs>
    <ds:schemaRef ds:uri="http://schemas.microsoft.com/sharepoint/v3/contenttype/forms"/>
  </ds:schemaRefs>
</ds:datastoreItem>
</file>

<file path=customXml/itemProps3.xml><?xml version="1.0" encoding="utf-8"?>
<ds:datastoreItem xmlns:ds="http://schemas.openxmlformats.org/officeDocument/2006/customXml" ds:itemID="{5D7E94F3-90D7-4B0A-A68A-E7EE44295A2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EOIs Tracker 2025</vt:lpstr>
      <vt:lpstr>Proposals Tracker 2025</vt:lpstr>
      <vt:lpstr>Partners Firms</vt:lpstr>
      <vt:lpstr>Partners Individual Experts</vt:lpstr>
      <vt:lpstr>Teams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mk</dc:creator>
  <cp:keywords/>
  <dc:description/>
  <cp:lastModifiedBy>EED</cp:lastModifiedBy>
  <cp:revision/>
  <dcterms:created xsi:type="dcterms:W3CDTF">2025-07-08T11:38:42Z</dcterms:created>
  <dcterms:modified xsi:type="dcterms:W3CDTF">2026-09-30T13:17:38Z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0x0101002408E3D2F54C53489D9AB6139CAEF0B9</vt:lpwstr>
  </property>
</Properties>
</file>